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dhe\Desktop\project 3\2_EXCEL\"/>
    </mc:Choice>
  </mc:AlternateContent>
  <xr:revisionPtr revIDLastSave="0" documentId="13_ncr:1_{E7403BAF-B679-4FEF-B9DE-948C3F76A1A9}" xr6:coauthVersionLast="47" xr6:coauthVersionMax="47" xr10:uidLastSave="{00000000-0000-0000-0000-000000000000}"/>
  <bookViews>
    <workbookView xWindow="-108" yWindow="-108" windowWidth="23256" windowHeight="12456" activeTab="3" xr2:uid="{7F2F491B-747C-4EFA-8295-EE6201C5E6A2}"/>
  </bookViews>
  <sheets>
    <sheet name="Pivot" sheetId="3" r:id="rId1"/>
    <sheet name="Data" sheetId="1" r:id="rId2"/>
    <sheet name="Owners" sheetId="4" r:id="rId3"/>
    <sheet name="Summary" sheetId="2" r:id="rId4"/>
  </sheets>
  <definedNames>
    <definedName name="ExternalData_1" localSheetId="2" hidden="1">Owners!$A$1:$D$7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7" i="2"/>
  <c r="B36" i="2"/>
  <c r="B35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B19" i="2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B20" i="2"/>
  <c r="B21" i="2"/>
  <c r="B22" i="2"/>
  <c r="B23" i="2"/>
  <c r="B24" i="2"/>
  <c r="B25" i="2"/>
  <c r="B26" i="2"/>
  <c r="B27" i="2"/>
  <c r="B28" i="2"/>
  <c r="B29" i="2"/>
  <c r="B30" i="2"/>
  <c r="C19" i="2"/>
  <c r="D19" i="2" s="1"/>
  <c r="C15" i="2"/>
  <c r="D15" i="2" s="1"/>
  <c r="C14" i="2"/>
  <c r="D14" i="2" s="1"/>
  <c r="C13" i="2"/>
  <c r="D13" i="2" s="1"/>
  <c r="C12" i="2"/>
  <c r="D12" i="2" s="1"/>
  <c r="C11" i="2"/>
  <c r="D11" i="2" s="1"/>
  <c r="B11" i="2"/>
  <c r="B12" i="2"/>
  <c r="B13" i="2"/>
  <c r="B14" i="2"/>
  <c r="B15" i="2"/>
  <c r="C10" i="2"/>
  <c r="D10" i="2" s="1"/>
  <c r="B10" i="2"/>
  <c r="C5" i="2"/>
  <c r="D5" i="2" s="1"/>
  <c r="E5" i="2" s="1"/>
  <c r="B5" i="2"/>
  <c r="C4" i="2"/>
  <c r="B4" i="2"/>
  <c r="B6" i="2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G2" i="1"/>
  <c r="H2" i="1" s="1"/>
  <c r="G3" i="1"/>
  <c r="G4" i="1"/>
  <c r="G5" i="1"/>
  <c r="G6" i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G17" i="1"/>
  <c r="G18" i="1"/>
  <c r="G19" i="1"/>
  <c r="H19" i="1" s="1"/>
  <c r="G20" i="1"/>
  <c r="H20" i="1" s="1"/>
  <c r="G21" i="1"/>
  <c r="I21" i="1" s="1"/>
  <c r="G22" i="1"/>
  <c r="H22" i="1" s="1"/>
  <c r="G23" i="1"/>
  <c r="I23" i="1" s="1"/>
  <c r="G24" i="1"/>
  <c r="H24" i="1" s="1"/>
  <c r="G25" i="1"/>
  <c r="H25" i="1" s="1"/>
  <c r="G26" i="1"/>
  <c r="H26" i="1" s="1"/>
  <c r="G27" i="1"/>
  <c r="G28" i="1"/>
  <c r="G29" i="1"/>
  <c r="G30" i="1"/>
  <c r="G31" i="1"/>
  <c r="H31" i="1" s="1"/>
  <c r="G32" i="1"/>
  <c r="H32" i="1" s="1"/>
  <c r="G33" i="1"/>
  <c r="H33" i="1" s="1"/>
  <c r="G34" i="1"/>
  <c r="H34" i="1" s="1"/>
  <c r="G35" i="1"/>
  <c r="G36" i="1"/>
  <c r="G37" i="1"/>
  <c r="G38" i="1"/>
  <c r="H38" i="1" s="1"/>
  <c r="G39" i="1"/>
  <c r="G40" i="1"/>
  <c r="G41" i="1"/>
  <c r="G42" i="1"/>
  <c r="G43" i="1"/>
  <c r="H43" i="1" s="1"/>
  <c r="G44" i="1"/>
  <c r="H44" i="1" s="1"/>
  <c r="G45" i="1"/>
  <c r="H45" i="1" s="1"/>
  <c r="G46" i="1"/>
  <c r="H46" i="1" s="1"/>
  <c r="G47" i="1"/>
  <c r="I47" i="1" s="1"/>
  <c r="G48" i="1"/>
  <c r="I48" i="1" s="1"/>
  <c r="G49" i="1"/>
  <c r="I49" i="1" s="1"/>
  <c r="G50" i="1"/>
  <c r="H50" i="1" s="1"/>
  <c r="G51" i="1"/>
  <c r="G52" i="1"/>
  <c r="G53" i="1"/>
  <c r="G54" i="1"/>
  <c r="G55" i="1"/>
  <c r="H55" i="1" s="1"/>
  <c r="G56" i="1"/>
  <c r="H56" i="1" s="1"/>
  <c r="G57" i="1"/>
  <c r="H57" i="1" s="1"/>
  <c r="G58" i="1"/>
  <c r="H58" i="1" s="1"/>
  <c r="G59" i="1"/>
  <c r="G60" i="1"/>
  <c r="G61" i="1"/>
  <c r="H61" i="1" s="1"/>
  <c r="G62" i="1"/>
  <c r="H62" i="1" s="1"/>
  <c r="G63" i="1"/>
  <c r="G64" i="1"/>
  <c r="G65" i="1"/>
  <c r="G66" i="1"/>
  <c r="G67" i="1"/>
  <c r="H67" i="1" s="1"/>
  <c r="G68" i="1"/>
  <c r="H68" i="1" s="1"/>
  <c r="G69" i="1"/>
  <c r="H69" i="1" s="1"/>
  <c r="G70" i="1"/>
  <c r="H70" i="1" s="1"/>
  <c r="G71" i="1"/>
  <c r="G72" i="1"/>
  <c r="G73" i="1"/>
  <c r="H73" i="1" s="1"/>
  <c r="G74" i="1"/>
  <c r="H74" i="1" s="1"/>
  <c r="G75" i="1"/>
  <c r="G76" i="1"/>
  <c r="G77" i="1"/>
  <c r="G78" i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G88" i="1"/>
  <c r="G89" i="1"/>
  <c r="G90" i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G100" i="1"/>
  <c r="G101" i="1"/>
  <c r="G102" i="1"/>
  <c r="G103" i="1"/>
  <c r="H103" i="1" s="1"/>
  <c r="G104" i="1"/>
  <c r="H104" i="1" s="1"/>
  <c r="G105" i="1"/>
  <c r="H105" i="1" s="1"/>
  <c r="G106" i="1"/>
  <c r="I106" i="1" s="1"/>
  <c r="G107" i="1"/>
  <c r="G108" i="1"/>
  <c r="I108" i="1" s="1"/>
  <c r="G109" i="1"/>
  <c r="H109" i="1" s="1"/>
  <c r="G110" i="1"/>
  <c r="H110" i="1" s="1"/>
  <c r="G111" i="1"/>
  <c r="G112" i="1"/>
  <c r="G113" i="1"/>
  <c r="G114" i="1"/>
  <c r="G115" i="1"/>
  <c r="H115" i="1" s="1"/>
  <c r="G116" i="1"/>
  <c r="H116" i="1" s="1"/>
  <c r="G117" i="1"/>
  <c r="I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G124" i="1"/>
  <c r="G125" i="1"/>
  <c r="G126" i="1"/>
  <c r="G127" i="1"/>
  <c r="H127" i="1" s="1"/>
  <c r="G128" i="1"/>
  <c r="H128" i="1" s="1"/>
  <c r="G129" i="1"/>
  <c r="H129" i="1" s="1"/>
  <c r="G130" i="1"/>
  <c r="H130" i="1" s="1"/>
  <c r="G131" i="1"/>
  <c r="G132" i="1"/>
  <c r="G133" i="1"/>
  <c r="G134" i="1"/>
  <c r="G135" i="1"/>
  <c r="G136" i="1"/>
  <c r="G137" i="1"/>
  <c r="G138" i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I144" i="1" s="1"/>
  <c r="G145" i="1"/>
  <c r="H145" i="1" s="1"/>
  <c r="G146" i="1"/>
  <c r="H146" i="1" s="1"/>
  <c r="G147" i="1"/>
  <c r="G148" i="1"/>
  <c r="G149" i="1"/>
  <c r="G150" i="1"/>
  <c r="G151" i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G160" i="1"/>
  <c r="G161" i="1"/>
  <c r="G162" i="1"/>
  <c r="G163" i="1"/>
  <c r="H163" i="1" s="1"/>
  <c r="G164" i="1"/>
  <c r="H164" i="1" s="1"/>
  <c r="G165" i="1"/>
  <c r="H165" i="1" s="1"/>
  <c r="G166" i="1"/>
  <c r="H166" i="1" s="1"/>
  <c r="G167" i="1"/>
  <c r="G168" i="1"/>
  <c r="G169" i="1"/>
  <c r="G170" i="1"/>
  <c r="H170" i="1" s="1"/>
  <c r="G171" i="1"/>
  <c r="G172" i="1"/>
  <c r="G173" i="1"/>
  <c r="G174" i="1"/>
  <c r="G175" i="1"/>
  <c r="H175" i="1" s="1"/>
  <c r="G176" i="1"/>
  <c r="H176" i="1" s="1"/>
  <c r="G177" i="1"/>
  <c r="I177" i="1" s="1"/>
  <c r="G178" i="1"/>
  <c r="I178" i="1" s="1"/>
  <c r="G179" i="1"/>
  <c r="H179" i="1" s="1"/>
  <c r="G180" i="1"/>
  <c r="H180" i="1" s="1"/>
  <c r="G181" i="1"/>
  <c r="H181" i="1" s="1"/>
  <c r="G182" i="1"/>
  <c r="H182" i="1" s="1"/>
  <c r="G183" i="1"/>
  <c r="G184" i="1"/>
  <c r="G185" i="1"/>
  <c r="G186" i="1"/>
  <c r="G187" i="1"/>
  <c r="G188" i="1"/>
  <c r="H188" i="1" s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H194" i="1" s="1"/>
  <c r="G195" i="1"/>
  <c r="G196" i="1"/>
  <c r="G197" i="1"/>
  <c r="G198" i="1"/>
  <c r="G199" i="1"/>
  <c r="H199" i="1" s="1"/>
  <c r="G200" i="1"/>
  <c r="H200" i="1" s="1"/>
  <c r="G201" i="1"/>
  <c r="H201" i="1" s="1"/>
  <c r="G202" i="1"/>
  <c r="H202" i="1" s="1"/>
  <c r="G203" i="1"/>
  <c r="G204" i="1"/>
  <c r="G205" i="1"/>
  <c r="H205" i="1" s="1"/>
  <c r="G206" i="1"/>
  <c r="H206" i="1" s="1"/>
  <c r="G207" i="1"/>
  <c r="G208" i="1"/>
  <c r="G209" i="1"/>
  <c r="G210" i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E15" i="2" l="1"/>
  <c r="F15" i="2"/>
  <c r="E14" i="2"/>
  <c r="F14" i="2"/>
  <c r="E13" i="2"/>
  <c r="F13" i="2"/>
  <c r="E12" i="2"/>
  <c r="F12" i="2"/>
  <c r="E11" i="2"/>
  <c r="F11" i="2"/>
  <c r="E10" i="2"/>
  <c r="F10" i="2"/>
  <c r="C6" i="2"/>
  <c r="D6" i="2" s="1"/>
  <c r="E6" i="2" s="1"/>
  <c r="D4" i="2"/>
  <c r="E4" i="2" s="1"/>
  <c r="H35" i="1"/>
  <c r="I35" i="1"/>
  <c r="H36" i="1"/>
  <c r="I36" i="1"/>
  <c r="H37" i="1"/>
  <c r="I37" i="1"/>
  <c r="I59" i="1"/>
  <c r="H59" i="1"/>
  <c r="I60" i="1"/>
  <c r="H60" i="1"/>
  <c r="H71" i="1"/>
  <c r="I71" i="1"/>
  <c r="H72" i="1"/>
  <c r="I72" i="1"/>
  <c r="H107" i="1"/>
  <c r="I107" i="1"/>
  <c r="H131" i="1"/>
  <c r="I131" i="1"/>
  <c r="H132" i="1"/>
  <c r="I132" i="1"/>
  <c r="H133" i="1"/>
  <c r="I133" i="1"/>
  <c r="H134" i="1"/>
  <c r="I134" i="1"/>
  <c r="H151" i="1"/>
  <c r="I151" i="1"/>
  <c r="H167" i="1"/>
  <c r="I167" i="1"/>
  <c r="H168" i="1"/>
  <c r="I168" i="1"/>
  <c r="H169" i="1"/>
  <c r="I169" i="1"/>
  <c r="H187" i="1"/>
  <c r="I187" i="1"/>
  <c r="I203" i="1"/>
  <c r="H203" i="1"/>
  <c r="H204" i="1"/>
  <c r="I204" i="1"/>
  <c r="I98" i="1"/>
  <c r="H49" i="1"/>
  <c r="I194" i="1"/>
  <c r="I97" i="1"/>
  <c r="I62" i="1"/>
  <c r="H193" i="1"/>
  <c r="H48" i="1"/>
  <c r="I158" i="1"/>
  <c r="I96" i="1"/>
  <c r="I61" i="1"/>
  <c r="I26" i="1"/>
  <c r="H192" i="1"/>
  <c r="H47" i="1"/>
  <c r="I157" i="1"/>
  <c r="I122" i="1"/>
  <c r="I95" i="1"/>
  <c r="I25" i="1"/>
  <c r="H191" i="1"/>
  <c r="H23" i="1"/>
  <c r="I156" i="1"/>
  <c r="I121" i="1"/>
  <c r="I86" i="1"/>
  <c r="I24" i="1"/>
  <c r="H21" i="1"/>
  <c r="I155" i="1"/>
  <c r="I120" i="1"/>
  <c r="I85" i="1"/>
  <c r="I50" i="1"/>
  <c r="H144" i="1"/>
  <c r="I217" i="1"/>
  <c r="I182" i="1"/>
  <c r="I119" i="1"/>
  <c r="I84" i="1"/>
  <c r="I14" i="1"/>
  <c r="I216" i="1"/>
  <c r="I181" i="1"/>
  <c r="I146" i="1"/>
  <c r="I115" i="1"/>
  <c r="I83" i="1"/>
  <c r="I13" i="1"/>
  <c r="H117" i="1"/>
  <c r="I215" i="1"/>
  <c r="I180" i="1"/>
  <c r="I145" i="1"/>
  <c r="I110" i="1"/>
  <c r="I79" i="1"/>
  <c r="I12" i="1"/>
  <c r="H108" i="1"/>
  <c r="I206" i="1"/>
  <c r="I179" i="1"/>
  <c r="I109" i="1"/>
  <c r="I74" i="1"/>
  <c r="I43" i="1"/>
  <c r="I11" i="1"/>
  <c r="I205" i="1"/>
  <c r="I170" i="1"/>
  <c r="I143" i="1"/>
  <c r="I73" i="1"/>
  <c r="I38" i="1"/>
  <c r="I2" i="1"/>
  <c r="I202" i="1"/>
  <c r="I166" i="1"/>
  <c r="I130" i="1"/>
  <c r="I94" i="1"/>
  <c r="I58" i="1"/>
  <c r="I22" i="1"/>
  <c r="I201" i="1"/>
  <c r="I165" i="1"/>
  <c r="I129" i="1"/>
  <c r="I93" i="1"/>
  <c r="I57" i="1"/>
  <c r="H190" i="1"/>
  <c r="H106" i="1"/>
  <c r="I200" i="1"/>
  <c r="I164" i="1"/>
  <c r="I128" i="1"/>
  <c r="I92" i="1"/>
  <c r="I56" i="1"/>
  <c r="I20" i="1"/>
  <c r="H7" i="1"/>
  <c r="I7" i="1"/>
  <c r="H189" i="1"/>
  <c r="I199" i="1"/>
  <c r="I163" i="1"/>
  <c r="I127" i="1"/>
  <c r="I91" i="1"/>
  <c r="I55" i="1"/>
  <c r="I19" i="1"/>
  <c r="H210" i="1"/>
  <c r="I210" i="1"/>
  <c r="H198" i="1"/>
  <c r="I198" i="1"/>
  <c r="H186" i="1"/>
  <c r="I186" i="1"/>
  <c r="H174" i="1"/>
  <c r="I174" i="1"/>
  <c r="H162" i="1"/>
  <c r="I162" i="1"/>
  <c r="H150" i="1"/>
  <c r="I150" i="1"/>
  <c r="H138" i="1"/>
  <c r="I138" i="1"/>
  <c r="H126" i="1"/>
  <c r="I126" i="1"/>
  <c r="H114" i="1"/>
  <c r="I114" i="1"/>
  <c r="H102" i="1"/>
  <c r="I102" i="1"/>
  <c r="H90" i="1"/>
  <c r="I90" i="1"/>
  <c r="H78" i="1"/>
  <c r="I78" i="1"/>
  <c r="H66" i="1"/>
  <c r="I66" i="1"/>
  <c r="H54" i="1"/>
  <c r="I54" i="1"/>
  <c r="H42" i="1"/>
  <c r="I42" i="1"/>
  <c r="H30" i="1"/>
  <c r="I30" i="1"/>
  <c r="H18" i="1"/>
  <c r="I18" i="1"/>
  <c r="H6" i="1"/>
  <c r="I6" i="1"/>
  <c r="H178" i="1"/>
  <c r="I214" i="1"/>
  <c r="I142" i="1"/>
  <c r="I70" i="1"/>
  <c r="I34" i="1"/>
  <c r="H209" i="1"/>
  <c r="I209" i="1"/>
  <c r="H197" i="1"/>
  <c r="I197" i="1"/>
  <c r="H185" i="1"/>
  <c r="I185" i="1"/>
  <c r="H173" i="1"/>
  <c r="I173" i="1"/>
  <c r="H161" i="1"/>
  <c r="I161" i="1"/>
  <c r="H149" i="1"/>
  <c r="I149" i="1"/>
  <c r="H137" i="1"/>
  <c r="I137" i="1"/>
  <c r="H125" i="1"/>
  <c r="I125" i="1"/>
  <c r="H113" i="1"/>
  <c r="I113" i="1"/>
  <c r="H101" i="1"/>
  <c r="I101" i="1"/>
  <c r="H89" i="1"/>
  <c r="I89" i="1"/>
  <c r="H77" i="1"/>
  <c r="I77" i="1"/>
  <c r="H65" i="1"/>
  <c r="I65" i="1"/>
  <c r="H53" i="1"/>
  <c r="I53" i="1"/>
  <c r="H41" i="1"/>
  <c r="I41" i="1"/>
  <c r="H29" i="1"/>
  <c r="I29" i="1"/>
  <c r="H17" i="1"/>
  <c r="I17" i="1"/>
  <c r="H5" i="1"/>
  <c r="I5" i="1"/>
  <c r="H177" i="1"/>
  <c r="I213" i="1"/>
  <c r="I141" i="1"/>
  <c r="I105" i="1"/>
  <c r="I69" i="1"/>
  <c r="I33" i="1"/>
  <c r="H208" i="1"/>
  <c r="I208" i="1"/>
  <c r="H196" i="1"/>
  <c r="I196" i="1"/>
  <c r="H184" i="1"/>
  <c r="I184" i="1"/>
  <c r="H172" i="1"/>
  <c r="I172" i="1"/>
  <c r="H160" i="1"/>
  <c r="I160" i="1"/>
  <c r="H148" i="1"/>
  <c r="I148" i="1"/>
  <c r="H136" i="1"/>
  <c r="I136" i="1"/>
  <c r="H124" i="1"/>
  <c r="I124" i="1"/>
  <c r="H112" i="1"/>
  <c r="I112" i="1"/>
  <c r="H100" i="1"/>
  <c r="I100" i="1"/>
  <c r="H88" i="1"/>
  <c r="I88" i="1"/>
  <c r="H76" i="1"/>
  <c r="I76" i="1"/>
  <c r="H64" i="1"/>
  <c r="I64" i="1"/>
  <c r="H52" i="1"/>
  <c r="I52" i="1"/>
  <c r="H40" i="1"/>
  <c r="I40" i="1"/>
  <c r="H28" i="1"/>
  <c r="I28" i="1"/>
  <c r="H16" i="1"/>
  <c r="I16" i="1"/>
  <c r="H4" i="1"/>
  <c r="I4" i="1"/>
  <c r="I212" i="1"/>
  <c r="I176" i="1"/>
  <c r="I140" i="1"/>
  <c r="I104" i="1"/>
  <c r="I68" i="1"/>
  <c r="I32" i="1"/>
  <c r="H207" i="1"/>
  <c r="I207" i="1"/>
  <c r="H195" i="1"/>
  <c r="I195" i="1"/>
  <c r="H183" i="1"/>
  <c r="I183" i="1"/>
  <c r="H171" i="1"/>
  <c r="I171" i="1"/>
  <c r="H159" i="1"/>
  <c r="I159" i="1"/>
  <c r="H147" i="1"/>
  <c r="I147" i="1"/>
  <c r="H135" i="1"/>
  <c r="I135" i="1"/>
  <c r="H123" i="1"/>
  <c r="I123" i="1"/>
  <c r="H111" i="1"/>
  <c r="I111" i="1"/>
  <c r="H99" i="1"/>
  <c r="I99" i="1"/>
  <c r="H87" i="1"/>
  <c r="I87" i="1"/>
  <c r="H75" i="1"/>
  <c r="I75" i="1"/>
  <c r="H63" i="1"/>
  <c r="I63" i="1"/>
  <c r="H51" i="1"/>
  <c r="I51" i="1"/>
  <c r="H39" i="1"/>
  <c r="I39" i="1"/>
  <c r="H27" i="1"/>
  <c r="I27" i="1"/>
  <c r="H15" i="1"/>
  <c r="I15" i="1"/>
  <c r="H3" i="1"/>
  <c r="I3" i="1"/>
  <c r="I211" i="1"/>
  <c r="I175" i="1"/>
  <c r="I139" i="1"/>
  <c r="I103" i="1"/>
  <c r="I67" i="1"/>
  <c r="I31" i="1"/>
  <c r="I154" i="1"/>
  <c r="I118" i="1"/>
  <c r="I82" i="1"/>
  <c r="I46" i="1"/>
  <c r="I10" i="1"/>
  <c r="I153" i="1"/>
  <c r="I81" i="1"/>
  <c r="I45" i="1"/>
  <c r="I9" i="1"/>
  <c r="I188" i="1"/>
  <c r="I152" i="1"/>
  <c r="I116" i="1"/>
  <c r="I80" i="1"/>
  <c r="I44" i="1"/>
  <c r="I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5CFFB4-BD38-412A-8615-CBB4AD22D506}" keepAlive="1" name="Query - Owners" description="Connection to the 'Owners' query in the workbook." type="5" refreshedVersion="8" background="1" saveData="1">
    <dbPr connection="Provider=Microsoft.Mashup.OleDb.1;Data Source=$Workbook$;Location=Owners;Extended Properties=&quot;&quot;" command="SELECT * FROM [Owners]"/>
  </connection>
</connections>
</file>

<file path=xl/sharedStrings.xml><?xml version="1.0" encoding="utf-8"?>
<sst xmlns="http://schemas.openxmlformats.org/spreadsheetml/2006/main" count="999" uniqueCount="84">
  <si>
    <t>Month</t>
  </si>
  <si>
    <t>Department</t>
  </si>
  <si>
    <t>Category</t>
  </si>
  <si>
    <t>Type</t>
  </si>
  <si>
    <t>Budget</t>
  </si>
  <si>
    <t>Actual</t>
  </si>
  <si>
    <t>2025-01</t>
  </si>
  <si>
    <t>Sales</t>
  </si>
  <si>
    <t>Product Revenue</t>
  </si>
  <si>
    <t>Revenue</t>
  </si>
  <si>
    <t>Service Revenue</t>
  </si>
  <si>
    <t>Salaries</t>
  </si>
  <si>
    <t>Expense</t>
  </si>
  <si>
    <t>Travel</t>
  </si>
  <si>
    <t>Marketing</t>
  </si>
  <si>
    <t>Advertising</t>
  </si>
  <si>
    <t>Events</t>
  </si>
  <si>
    <t>Operations</t>
  </si>
  <si>
    <t>Warehouse Rent</t>
  </si>
  <si>
    <t>Logistics</t>
  </si>
  <si>
    <t>IT</t>
  </si>
  <si>
    <t>Software Licences</t>
  </si>
  <si>
    <t>Hardware</t>
  </si>
  <si>
    <t>HR</t>
  </si>
  <si>
    <t>Recruitment</t>
  </si>
  <si>
    <t>Training</t>
  </si>
  <si>
    <t>Finance</t>
  </si>
  <si>
    <t>Audit &amp; Legal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</si>
  <si>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</si>
  <si>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</si>
  <si>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</si>
  <si>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</si>
  <si>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</si>
  <si>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</si>
  <si>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</si>
  <si>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</si>
  <si>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</si>
  <si>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</si>
  <si>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</si>
  <si>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Variance</t>
  </si>
  <si>
    <t>Variance %</t>
  </si>
  <si>
    <t>Status</t>
  </si>
  <si>
    <t>Quarter</t>
  </si>
  <si>
    <t>Brightline Retail Ltd - Budget vs Actual 2025</t>
  </si>
  <si>
    <t>Line</t>
  </si>
  <si>
    <t>Expenses</t>
  </si>
  <si>
    <t>Profit</t>
  </si>
  <si>
    <t>Row Labels</t>
  </si>
  <si>
    <t>Grand Total</t>
  </si>
  <si>
    <t>Sum of Budget</t>
  </si>
  <si>
    <t>Sum of Actual</t>
  </si>
  <si>
    <t>Sum of Variance</t>
  </si>
  <si>
    <t>Column Labels</t>
  </si>
  <si>
    <t>Q1</t>
  </si>
  <si>
    <t>Q2</t>
  </si>
  <si>
    <t>Q3</t>
  </si>
  <si>
    <t>Q4</t>
  </si>
  <si>
    <t>Revenue Budget</t>
  </si>
  <si>
    <t>Revenue Actual</t>
  </si>
  <si>
    <t>Budget Owner</t>
  </si>
  <si>
    <t>Cost Centre</t>
  </si>
  <si>
    <t>Email</t>
  </si>
  <si>
    <t>Aoife Byrne</t>
  </si>
  <si>
    <t>CC-100</t>
  </si>
  <si>
    <t>aoife.byrne@brightline.example</t>
  </si>
  <si>
    <t>Liam O'Connor</t>
  </si>
  <si>
    <t>CC-200</t>
  </si>
  <si>
    <t>liam.oconnor@brightline.example</t>
  </si>
  <si>
    <t>Siobhan Kelly</t>
  </si>
  <si>
    <t>CC-300</t>
  </si>
  <si>
    <t>siobhan.kelly@brightline.example</t>
  </si>
  <si>
    <t>Ravi Sharma</t>
  </si>
  <si>
    <t>CC-400</t>
  </si>
  <si>
    <t>ravi.sharma@brightline.example</t>
  </si>
  <si>
    <t>Niamh Walsh</t>
  </si>
  <si>
    <t>CC-500</t>
  </si>
  <si>
    <t>niamh.walsh@brightline.example</t>
  </si>
  <si>
    <t>Conor Murphy</t>
  </si>
  <si>
    <t>CC-600</t>
  </si>
  <si>
    <t>conor.murphy@brightline.example</t>
  </si>
  <si>
    <t>Department lookup</t>
  </si>
  <si>
    <t>Budget owner</t>
  </si>
  <si>
    <t>Cost centre</t>
  </si>
  <si>
    <t>Expense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</si>
</sst>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#,##0_ ;\-#,##0\ "/>
    <numFmt numFmtId="178" formatCode="[$€-2]\ 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8F0F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4" fontId="0" fillId="0" borderId="0" xfId="43" applyNumberFormat="1" applyFont="1"/>
    <xf numFmtId="43" fontId="0" fillId="0" borderId="0" xfId="42" applyFont="1"/>
    <xf numFmtId="165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2"/>
    </xf>
    <xf numFmtId="0" fontId="0" fillId="0" borderId="0" xfId="0" quotePrefix="1"/>
    <xf numFmtId="0" fontId="0" fillId="0" borderId="0" xfId="0" applyNumberFormat="1"/>
    <xf numFmtId="0" fontId="16" fillId="33" borderId="0" xfId="0" applyFont="1" applyFill="1"/>
    <xf numFmtId="0" fontId="0" fillId="33" borderId="0" xfId="0" applyFill="1"/>
    <xf numFmtId="0" fontId="0" fillId="34" borderId="0" xfId="0" applyFill="1"/>
    <xf numFmtId="178" fontId="0" fillId="34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64" formatCode="0.0%"/>
    </dxf>
    <dxf>
      <numFmt numFmtId="165" formatCode="_ * #,##0_ ;_ * \-#,##0_ ;_ * &quot;-&quot;??_ ;_ @_ "/>
    </dxf>
  </dxfs>
  <tableStyles count="0" defaultTableStyle="TableStyleMedium2" defaultPivotStyle="PivotStyleLight16"/>
  <colors>
    <mruColors>
      <color rgb="FFE8F0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and Expenses: Budget vs Actual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Summary!$A$4:$A$5</c:f>
              <c:strCache>
                <c:ptCount val="2"/>
                <c:pt idx="0">
                  <c:v>Revenue</c:v>
                </c:pt>
                <c:pt idx="1">
                  <c:v>Expenses</c:v>
                </c:pt>
              </c:strCache>
            </c:strRef>
          </c:cat>
          <c:val>
            <c:numRef>
              <c:f>Summary!$B$4:$B$5</c:f>
              <c:numCache>
                <c:formatCode>_ * #,##0_ ;_ * \-#,##0_ ;_ * "-"??_ ;_ @_ </c:formatCode>
                <c:ptCount val="2"/>
                <c:pt idx="0">
                  <c:v>5808000</c:v>
                </c:pt>
                <c:pt idx="1">
                  <c:v>5652000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8-4F10-86C0-1A48679FEA0D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Summary!$A$4:$A$5</c:f>
              <c:strCache>
                <c:ptCount val="2"/>
                <c:pt idx="0">
                  <c:v>Revenue</c:v>
                </c:pt>
                <c:pt idx="1">
                  <c:v>Expenses</c:v>
                </c:pt>
              </c:strCache>
            </c:strRef>
          </c:cat>
          <c:val>
            <c:numRef>
              <c:f>Summary!$C$4:$C$5</c:f>
              <c:numCache>
                <c:formatCode>_(* #,##0.00_);_(* \(#,##0.00\);_(* "-"??_);_(@_)</c:formatCode>
                <c:ptCount val="2"/>
                <c:pt idx="0">
                  <c:v>5700474.4500000002</c:v>
                </c:pt>
                <c:pt idx="1">
                  <c:v>5713733.2000000011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8-4F10-86C0-1A48679F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646752"/>
        <c:axId val="605647232"/>
      </c:barChart>
      <c:catAx>
        <c:axId val="60564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47232"/>
        <c:crosses val="autoZero"/>
        <c:auto val="1"/>
        <c:lblAlgn val="ctr"/>
        <c:lblOffset val="100"/>
        <c:noMultiLvlLbl val="0"/>
      </c:catAx>
      <c:valAx>
        <c:axId val="6056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4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Expense Variance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Summary!$D$9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Summary!$A$10:$A$15</c:f>
              <c:strCache>
                <c:ptCount val="6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IT</c:v>
                </c:pt>
                <c:pt idx="4">
                  <c:v>HR</c:v>
                </c:pt>
                <c:pt idx="5">
                  <c:v>Finance</c:v>
                </c:pt>
              </c:strCache>
            </c:strRef>
          </c:cat>
          <c:val>
            <c:numRef>
              <c:f>Summary!$D$10:$D$15</c:f>
              <c:numCache>
                <c:formatCode>_(* #,##0.00_);_(* \(#,##0.00\);_(* "-"??_);_(@_)</c:formatCode>
                <c:ptCount val="6"/>
                <c:pt idx="0">
                  <c:v>-36172.770000000019</c:v>
                </c:pt>
                <c:pt idx="1">
                  <c:v>39059.820000000298</c:v>
                </c:pt>
                <c:pt idx="2">
                  <c:v>29914.399999999674</c:v>
                </c:pt>
                <c:pt idx="3">
                  <c:v>22878.230000000098</c:v>
                </c:pt>
                <c:pt idx="4">
                  <c:v>6172.6899999999441</c:v>
                </c:pt>
                <c:pt idx="5">
                  <c:v>-119.17000000004191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4-4D94-9872-7AA178873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0578432"/>
        <c:axId val="890579872"/>
      </c:barChart>
      <c:catAx>
        <c:axId val="89057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79872"/>
        <c:crosses val="autoZero"/>
        <c:auto val="1"/>
        <c:lblAlgn val="ctr"/>
        <c:lblOffset val="100"/>
        <c:noMultiLvlLbl val="0"/>
      </c:catAx>
      <c:valAx>
        <c:axId val="89057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7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Revenue: Budget vs Actual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Summary!$B$18</c:f>
              <c:strCache>
                <c:ptCount val="1"/>
                <c:pt idx="0">
                  <c:v>Revenue Budget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Summary!$A$19:$A$30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Summary!$B$19:$B$30</c:f>
              <c:numCache>
                <c:formatCode>_ * #,##0_ ;_ * \-#,##0_ ;_ * "-"??_ ;_ @_ </c:formatCode>
                <c:ptCount val="12"/>
                <c:pt idx="0">
                  <c:v>408000</c:v>
                </c:pt>
                <c:pt idx="1">
                  <c:v>408000</c:v>
                </c:pt>
                <c:pt idx="2">
                  <c:v>456000</c:v>
                </c:pt>
                <c:pt idx="3">
                  <c:v>456000</c:v>
                </c:pt>
                <c:pt idx="4">
                  <c:v>480000</c:v>
                </c:pt>
                <c:pt idx="5">
                  <c:v>480000</c:v>
                </c:pt>
                <c:pt idx="6">
                  <c:v>456000</c:v>
                </c:pt>
                <c:pt idx="7">
                  <c:v>456000</c:v>
                </c:pt>
                <c:pt idx="8">
                  <c:v>480000</c:v>
                </c:pt>
                <c:pt idx="9">
                  <c:v>528000</c:v>
                </c:pt>
                <c:pt idx="10">
                  <c:v>576000</c:v>
                </c:pt>
                <c:pt idx="11">
                  <c:v>624000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F-476B-B344-0E65AB045711}"/>
            </c:ext>
          </c:extLst>
        </c:ser>
        <c:ser>
          <c:idx val="1"/>
          <c:order val="1"/>
          <c:tx>
            <c:strRef>
              <c:f>Summary!$C$18</c:f>
              <c:strCache>
                <c:ptCount val="1"/>
                <c:pt idx="0">
                  <c:v>Revenue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Summary!$A$19:$A$30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Summary!$C$19:$C$30</c:f>
              <c:numCache>
                <c:formatCode>_ * #,##0_ ;_ * \-#,##0_ ;_ * "-"??_ ;_ @_ </c:formatCode>
                <c:ptCount val="12"/>
                <c:pt idx="0">
                  <c:v>409672.34</c:v>
                </c:pt>
                <c:pt idx="1">
                  <c:v>407182.44999999995</c:v>
                </c:pt>
                <c:pt idx="2">
                  <c:v>447243.47000000003</c:v>
                </c:pt>
                <c:pt idx="3">
                  <c:v>412969.14999999997</c:v>
                </c:pt>
                <c:pt idx="4">
                  <c:v>427823.69</c:v>
                </c:pt>
                <c:pt idx="5">
                  <c:v>421313.29</c:v>
                </c:pt>
                <c:pt idx="6">
                  <c:v>474763.99</c:v>
                </c:pt>
                <c:pt idx="7">
                  <c:v>484883.57</c:v>
                </c:pt>
                <c:pt idx="8">
                  <c:v>471575.98</c:v>
                </c:pt>
                <c:pt idx="9">
                  <c:v>534547.42999999993</c:v>
                </c:pt>
                <c:pt idx="10">
                  <c:v>584144.29</c:v>
                </c:pt>
                <c:pt idx="11">
                  <c:v>624354.80000000005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F-476B-B344-0E65AB045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271600"/>
        <c:axId val="86526680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Summary!$D$18</c15:sqref>
                        </c15:formulaRef>
                      </c:ext>
                    </c:extLst>
                    <c:strCache>
                      <c:ptCount val="1"/>
                      <c:pt idx="0">
                        <c:v>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Summary!$A$19:$A$30</c15:sqref>
                        </c15:formulaRef>
                      </c:ext>
                    </c:extLst>
                    <c:strCache>
                      <c:ptCount val="12"/>
                      <c:pt idx="0">
                        <c:v>2025-01</c:v>
                      </c:pt>
                      <c:pt idx="1">
                        <c:v>2025-02</c:v>
                      </c:pt>
                      <c:pt idx="2">
                        <c:v>2025-03</c:v>
                      </c:pt>
                      <c:pt idx="3">
                        <c:v>2025-04</c:v>
                      </c:pt>
                      <c:pt idx="4">
                        <c:v>2025-05</c:v>
                      </c:pt>
                      <c:pt idx="5">
                        <c:v>2025-06</c:v>
                      </c:pt>
                      <c:pt idx="6">
                        <c:v>2025-07</c:v>
                      </c:pt>
                      <c:pt idx="7">
                        <c:v>2025-08</c:v>
                      </c:pt>
                      <c:pt idx="8">
                        <c:v>2025-09</c:v>
                      </c:pt>
                      <c:pt idx="9">
                        <c:v>2025-10</c:v>
                      </c:pt>
                      <c:pt idx="10">
                        <c:v>2025-11</c:v>
                      </c:pt>
                      <c:pt idx="11">
                        <c:v>2025-12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Summary!$D$19:$D$30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12"/>
                      <c:pt idx="0">
                        <c:v>1672.3400000000256</c:v>
                      </c:pt>
                      <c:pt idx="1">
                        <c:v>-817.55000000004657</c:v>
                      </c:pt>
                      <c:pt idx="2">
                        <c:v>-8756.5299999999697</c:v>
                      </c:pt>
                      <c:pt idx="3">
                        <c:v>-43030.850000000035</c:v>
                      </c:pt>
                      <c:pt idx="4">
                        <c:v>-52176.31</c:v>
                      </c:pt>
                      <c:pt idx="5">
                        <c:v>-58686.710000000021</c:v>
                      </c:pt>
                      <c:pt idx="6">
                        <c:v>18763.989999999991</c:v>
                      </c:pt>
                      <c:pt idx="7">
                        <c:v>28883.570000000007</c:v>
                      </c:pt>
                      <c:pt idx="8">
                        <c:v>-8424.0200000000186</c:v>
                      </c:pt>
                      <c:pt idx="9">
                        <c:v>6547.4299999999348</c:v>
                      </c:pt>
                      <c:pt idx="10">
                        <c:v>8144.2900000000373</c:v>
                      </c:pt>
                      <c:pt idx="11">
                        <c:v>354.80000000004657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82F-476B-B344-0E65AB045711}"/>
                  </c:ext>
                </c:extLst>
              </c15:ser>
            </c15:filteredLineSeries>
          </c:ext>
        </c:extLst>
      </c:lineChart>
      <c:catAx>
        <c:axId val="86527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66800"/>
        <c:crosses val="autoZero"/>
        <c:auto val="1"/>
        <c:lblAlgn val="ctr"/>
        <c:lblOffset val="100"/>
        <c:noMultiLvlLbl val="0"/>
      </c:catAx>
      <c:valAx>
        <c:axId val="8652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7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301046</xdr:colOff>
      <xdr:row>0</xdr:row>
      <xdr:rowOff>32413</xdr:rowOff>
    </xdr:from>
    <xdr:to>
      <xdr:col>11</xdr:col>
      <xdr:colOff>176696</xdr:colOff>
      <xdr:row>9</xdr:row>
      <xdr:rowOff>99391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3A1E9-5C7B-2E64-CD9D-7CB2B0C44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284701</xdr:colOff>
      <xdr:row>9</xdr:row>
      <xdr:rowOff>179401</xdr:rowOff>
    </xdr:from>
    <xdr:to>
      <xdr:col>11</xdr:col>
      <xdr:colOff>187739</xdr:colOff>
      <xdr:row>20</xdr:row>
      <xdr:rowOff>110434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BB92DA-9F5E-406A-7E34-0BAF31F7C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247595</xdr:colOff>
      <xdr:row>21</xdr:row>
      <xdr:rowOff>51077</xdr:rowOff>
    </xdr:from>
    <xdr:to>
      <xdr:col>13</xdr:col>
      <xdr:colOff>0</xdr:colOff>
      <xdr:row>34</xdr:row>
      <xdr:rowOff>143567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E6F0D8-8B3A-F49A-E1E5-998A516C8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Kumar" refreshedDate="46314.856344328706" createdVersion="8" refreshedVersion="8" minRefreshableVersion="3" recordCount="216" xr:uid="{7C532712-63D5-48A2-93A7-073731B127E3}">
  <cacheSource type="worksheet">
    <worksheetSource name="tblData"/>
  </cacheSource>
  <cacheFields count="10">
    <cacheField name="Month" numFmtId="0">
      <sharedItems/>
    </cacheField>
    <cacheField name="Department" numFmtId="0">
      <sharedItems count="6">
        <s v="Sales"/>
        <s v="Marketing"/>
        <s v="Operations"/>
        <s v="IT"/>
        <s v="HR"/>
        <s v="Finance"/>
      </sharedItems>
    </cacheField>
    <cacheField name="Category" numFmtId="0">
      <sharedItems count="13">
        <s v="Product Revenue"/>
        <s v="Service Revenue"/>
        <s v="Salaries"/>
        <s v="Travel"/>
        <s v="Advertising"/>
        <s v="Events"/>
        <s v="Warehouse Rent"/>
        <s v="Logistics"/>
        <s v="Software Licences"/>
        <s v="Hardware"/>
        <s v="Recruitment"/>
        <s v="Training"/>
        <s v="Audit &amp; Legal"/>
      </sharedItems>
    </cacheField>
    <cacheField name="Type" numFmtId="0">
      <sharedItems count="2">
        <s v="Revenue"/>
        <s v="Expense"/>
      </sharedItems>
    </cacheField>
    <cacheField name="Budget" numFmtId="165">
      <sharedItems containsSemiMixedTypes="0" containsString="0" containsNumber="1" containsInteger="1" minValue="5000" maxValue="546000"/>
    </cacheField>
    <cacheField name="Actual" numFmtId="43">
      <sharedItems containsSemiMixedTypes="0" containsString="0" containsNumber="1" minValue="4746.8999999999996" maxValue="548892.27"/>
    </cacheField>
    <cacheField name="Variance" numFmtId="43">
      <sharedItems containsSemiMixedTypes="0" containsString="0" containsNumber="1" minValue="-58006.020000000019" maxValue="23900.869999999995"/>
    </cacheField>
    <cacheField name="Variance %" numFmtId="164">
      <sharedItems containsSemiMixedTypes="0" containsString="0" containsNumber="1" minValue="-0.35660249999999999" maxValue="0.58401666666666674"/>
    </cacheField>
    <cacheField name="Status" numFmtId="0">
      <sharedItems/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s v="2025-01"/>
    <x v="0"/>
    <x v="0"/>
    <x v="0"/>
    <n v="357000"/>
    <n v="360263.52"/>
    <n v="3263.5200000000186"/>
    <n v="9.1415126050420695E-3"/>
    <s v="Favourable"/>
    <x v="0"/>
  </r>
  <r>
    <s v="2025-01"/>
    <x v="0"/>
    <x v="1"/>
    <x v="0"/>
    <n v="51000"/>
    <n v="49408.82"/>
    <n v="-1591.1800000000003"/>
    <n v="-3.1199607843137262E-2"/>
    <s v="Adverse"/>
    <x v="0"/>
  </r>
  <r>
    <s v="2025-01"/>
    <x v="0"/>
    <x v="2"/>
    <x v="1"/>
    <n v="85000"/>
    <n v="86913.65"/>
    <n v="1913.6499999999942"/>
    <n v="2.2513529411764637E-2"/>
    <s v="Adverse"/>
    <x v="0"/>
  </r>
  <r>
    <s v="2025-01"/>
    <x v="0"/>
    <x v="3"/>
    <x v="1"/>
    <n v="12000"/>
    <n v="7829.38"/>
    <n v="-4170.62"/>
    <n v="-0.34755166666666665"/>
    <s v="Favourable"/>
    <x v="0"/>
  </r>
  <r>
    <s v="2025-01"/>
    <x v="1"/>
    <x v="4"/>
    <x v="1"/>
    <n v="45000"/>
    <n v="43242.06"/>
    <n v="-1757.9400000000023"/>
    <n v="-3.9065333333333382E-2"/>
    <s v="Favourable"/>
    <x v="0"/>
  </r>
  <r>
    <s v="2025-01"/>
    <x v="1"/>
    <x v="5"/>
    <x v="1"/>
    <n v="10000"/>
    <n v="10038.35"/>
    <n v="38.350000000000364"/>
    <n v="3.8350000000000363E-3"/>
    <s v="Adverse"/>
    <x v="0"/>
  </r>
  <r>
    <s v="2025-01"/>
    <x v="1"/>
    <x v="2"/>
    <x v="1"/>
    <n v="30000"/>
    <n v="29715.38"/>
    <n v="-284.61999999999898"/>
    <n v="-9.487333333333299E-3"/>
    <s v="Favourable"/>
    <x v="0"/>
  </r>
  <r>
    <s v="2025-01"/>
    <x v="2"/>
    <x v="6"/>
    <x v="1"/>
    <n v="40000"/>
    <n v="39979.839999999997"/>
    <n v="-20.160000000003492"/>
    <n v="-5.0400000000008728E-4"/>
    <s v="Favourable"/>
    <x v="0"/>
  </r>
  <r>
    <s v="2025-01"/>
    <x v="2"/>
    <x v="7"/>
    <x v="1"/>
    <n v="55000"/>
    <n v="53592.480000000003"/>
    <n v="-1407.5199999999968"/>
    <n v="-2.5591272727272667E-2"/>
    <s v="Favourable"/>
    <x v="0"/>
  </r>
  <r>
    <s v="2025-01"/>
    <x v="2"/>
    <x v="2"/>
    <x v="1"/>
    <n v="70000"/>
    <n v="71846.740000000005"/>
    <n v="1846.7400000000052"/>
    <n v="2.6382000000000076E-2"/>
    <s v="Adverse"/>
    <x v="0"/>
  </r>
  <r>
    <s v="2025-01"/>
    <x v="3"/>
    <x v="8"/>
    <x v="1"/>
    <n v="18000"/>
    <n v="18420.009999999998"/>
    <n v="420.0099999999984"/>
    <n v="2.33338888888888E-2"/>
    <s v="Adverse"/>
    <x v="0"/>
  </r>
  <r>
    <s v="2025-01"/>
    <x v="3"/>
    <x v="9"/>
    <x v="1"/>
    <n v="8000"/>
    <n v="8015.85"/>
    <n v="15.850000000000364"/>
    <n v="1.9812500000000455E-3"/>
    <s v="Adverse"/>
    <x v="0"/>
  </r>
  <r>
    <s v="2025-01"/>
    <x v="3"/>
    <x v="2"/>
    <x v="1"/>
    <n v="35000"/>
    <n v="36183.599999999999"/>
    <n v="1183.5999999999985"/>
    <n v="3.3817142857142816E-2"/>
    <s v="Adverse"/>
    <x v="0"/>
  </r>
  <r>
    <s v="2025-01"/>
    <x v="4"/>
    <x v="10"/>
    <x v="1"/>
    <n v="6000"/>
    <n v="6084.15"/>
    <n v="84.149999999999636"/>
    <n v="1.4024999999999939E-2"/>
    <s v="Adverse"/>
    <x v="0"/>
  </r>
  <r>
    <s v="2025-01"/>
    <x v="4"/>
    <x v="11"/>
    <x v="1"/>
    <n v="5000"/>
    <n v="4871.1099999999997"/>
    <n v="-128.89000000000033"/>
    <n v="-2.5778000000000065E-2"/>
    <s v="Favourable"/>
    <x v="0"/>
  </r>
  <r>
    <s v="2025-01"/>
    <x v="4"/>
    <x v="2"/>
    <x v="1"/>
    <n v="20000"/>
    <n v="20221.25"/>
    <n v="221.25"/>
    <n v="1.1062499999999999E-2"/>
    <s v="Adverse"/>
    <x v="0"/>
  </r>
  <r>
    <s v="2025-01"/>
    <x v="5"/>
    <x v="12"/>
    <x v="1"/>
    <n v="7000"/>
    <n v="6798.63"/>
    <n v="-201.36999999999989"/>
    <n v="-2.8767142857142842E-2"/>
    <s v="Favourable"/>
    <x v="0"/>
  </r>
  <r>
    <s v="2025-01"/>
    <x v="5"/>
    <x v="2"/>
    <x v="1"/>
    <n v="25000"/>
    <n v="25658.84"/>
    <n v="658.84000000000015"/>
    <n v="2.6353600000000005E-2"/>
    <s v="Adverse"/>
    <x v="0"/>
  </r>
  <r>
    <s v="2025-02"/>
    <x v="0"/>
    <x v="0"/>
    <x v="0"/>
    <n v="357000"/>
    <n v="356465.29"/>
    <n v="-534.71000000002095"/>
    <n v="-1.4977871148459971E-3"/>
    <s v="Adverse"/>
    <x v="0"/>
  </r>
  <r>
    <s v="2025-02"/>
    <x v="0"/>
    <x v="1"/>
    <x v="0"/>
    <n v="51000"/>
    <n v="50717.16"/>
    <n v="-282.83999999999651"/>
    <n v="-5.545882352941108E-3"/>
    <s v="Adverse"/>
    <x v="0"/>
  </r>
  <r>
    <s v="2025-02"/>
    <x v="0"/>
    <x v="2"/>
    <x v="1"/>
    <n v="85000"/>
    <n v="83263.63"/>
    <n v="-1736.3699999999953"/>
    <n v="-2.0427882352941122E-2"/>
    <s v="Favourable"/>
    <x v="0"/>
  </r>
  <r>
    <s v="2025-02"/>
    <x v="0"/>
    <x v="3"/>
    <x v="1"/>
    <n v="12000"/>
    <n v="8907.2800000000007"/>
    <n v="-3092.7199999999993"/>
    <n v="-0.2577266666666666"/>
    <s v="Favourable"/>
    <x v="0"/>
  </r>
  <r>
    <s v="2025-02"/>
    <x v="1"/>
    <x v="4"/>
    <x v="1"/>
    <n v="45000"/>
    <n v="44421.760000000002"/>
    <n v="-578.23999999999796"/>
    <n v="-1.2849777777777733E-2"/>
    <s v="Favourable"/>
    <x v="0"/>
  </r>
  <r>
    <s v="2025-02"/>
    <x v="1"/>
    <x v="5"/>
    <x v="1"/>
    <n v="10000"/>
    <n v="9894.36"/>
    <n v="-105.63999999999942"/>
    <n v="-1.0563999999999941E-2"/>
    <s v="Favourable"/>
    <x v="0"/>
  </r>
  <r>
    <s v="2025-02"/>
    <x v="1"/>
    <x v="2"/>
    <x v="1"/>
    <n v="30000"/>
    <n v="30479.08"/>
    <n v="479.08000000000175"/>
    <n v="1.5969333333333391E-2"/>
    <s v="Adverse"/>
    <x v="0"/>
  </r>
  <r>
    <s v="2025-02"/>
    <x v="2"/>
    <x v="6"/>
    <x v="1"/>
    <n v="40000"/>
    <n v="40438.53"/>
    <n v="438.52999999999884"/>
    <n v="1.0963249999999971E-2"/>
    <s v="Adverse"/>
    <x v="0"/>
  </r>
  <r>
    <s v="2025-02"/>
    <x v="2"/>
    <x v="7"/>
    <x v="1"/>
    <n v="55000"/>
    <n v="55681.01"/>
    <n v="681.01000000000204"/>
    <n v="1.2382000000000037E-2"/>
    <s v="Adverse"/>
    <x v="0"/>
  </r>
  <r>
    <s v="2025-02"/>
    <x v="2"/>
    <x v="2"/>
    <x v="1"/>
    <n v="70000"/>
    <n v="70904.72"/>
    <n v="904.72000000000116"/>
    <n v="1.2924571428571445E-2"/>
    <s v="Adverse"/>
    <x v="0"/>
  </r>
  <r>
    <s v="2025-02"/>
    <x v="3"/>
    <x v="8"/>
    <x v="1"/>
    <n v="18000"/>
    <n v="19156.490000000002"/>
    <n v="1156.4900000000016"/>
    <n v="6.424944444444454E-2"/>
    <s v="Adverse"/>
    <x v="0"/>
  </r>
  <r>
    <s v="2025-02"/>
    <x v="3"/>
    <x v="9"/>
    <x v="1"/>
    <n v="8000"/>
    <n v="7902.46"/>
    <n v="-97.539999999999964"/>
    <n v="-1.2192499999999995E-2"/>
    <s v="Favourable"/>
    <x v="0"/>
  </r>
  <r>
    <s v="2025-02"/>
    <x v="3"/>
    <x v="2"/>
    <x v="1"/>
    <n v="35000"/>
    <n v="34462.15"/>
    <n v="-537.84999999999854"/>
    <n v="-1.5367142857142815E-2"/>
    <s v="Favourable"/>
    <x v="0"/>
  </r>
  <r>
    <s v="2025-02"/>
    <x v="4"/>
    <x v="10"/>
    <x v="1"/>
    <n v="6000"/>
    <n v="5853.52"/>
    <n v="-146.47999999999956"/>
    <n v="-2.4413333333333259E-2"/>
    <s v="Favourable"/>
    <x v="0"/>
  </r>
  <r>
    <s v="2025-02"/>
    <x v="4"/>
    <x v="11"/>
    <x v="1"/>
    <n v="5000"/>
    <n v="5092.3999999999996"/>
    <n v="92.399999999999636"/>
    <n v="1.8479999999999927E-2"/>
    <s v="Adverse"/>
    <x v="0"/>
  </r>
  <r>
    <s v="2025-02"/>
    <x v="4"/>
    <x v="2"/>
    <x v="1"/>
    <n v="20000"/>
    <n v="20677.38"/>
    <n v="677.38000000000102"/>
    <n v="3.3869000000000052E-2"/>
    <s v="Adverse"/>
    <x v="0"/>
  </r>
  <r>
    <s v="2025-02"/>
    <x v="5"/>
    <x v="12"/>
    <x v="1"/>
    <n v="7000"/>
    <n v="6976.07"/>
    <n v="-23.930000000000291"/>
    <n v="-3.41857142857147E-3"/>
    <s v="Favourable"/>
    <x v="0"/>
  </r>
  <r>
    <s v="2025-02"/>
    <x v="5"/>
    <x v="2"/>
    <x v="1"/>
    <n v="25000"/>
    <n v="24369.88"/>
    <n v="-630.11999999999898"/>
    <n v="-2.5204799999999958E-2"/>
    <s v="Favourable"/>
    <x v="0"/>
  </r>
  <r>
    <s v="2025-03"/>
    <x v="0"/>
    <x v="0"/>
    <x v="0"/>
    <n v="399000"/>
    <n v="389130.96"/>
    <n v="-9869.039999999979"/>
    <n v="-2.4734436090225513E-2"/>
    <s v="Adverse"/>
    <x v="0"/>
  </r>
  <r>
    <s v="2025-03"/>
    <x v="0"/>
    <x v="1"/>
    <x v="0"/>
    <n v="57000"/>
    <n v="58112.51"/>
    <n v="1112.510000000002"/>
    <n v="1.951771929824565E-2"/>
    <s v="Favourable"/>
    <x v="0"/>
  </r>
  <r>
    <s v="2025-03"/>
    <x v="0"/>
    <x v="2"/>
    <x v="1"/>
    <n v="85000"/>
    <n v="86895.3"/>
    <n v="1895.3000000000029"/>
    <n v="2.2297647058823564E-2"/>
    <s v="Adverse"/>
    <x v="0"/>
  </r>
  <r>
    <s v="2025-03"/>
    <x v="0"/>
    <x v="3"/>
    <x v="1"/>
    <n v="12000"/>
    <n v="8600.69"/>
    <n v="-3399.3099999999995"/>
    <n v="-0.28327583333333328"/>
    <s v="Favourable"/>
    <x v="0"/>
  </r>
  <r>
    <s v="2025-03"/>
    <x v="1"/>
    <x v="4"/>
    <x v="1"/>
    <n v="45000"/>
    <n v="45313.42"/>
    <n v="313.41999999999825"/>
    <n v="6.9648888888888504E-3"/>
    <s v="Adverse"/>
    <x v="0"/>
  </r>
  <r>
    <s v="2025-03"/>
    <x v="1"/>
    <x v="5"/>
    <x v="1"/>
    <n v="10000"/>
    <n v="10035.01"/>
    <n v="35.010000000000218"/>
    <n v="3.5010000000000219E-3"/>
    <s v="Adverse"/>
    <x v="0"/>
  </r>
  <r>
    <s v="2025-03"/>
    <x v="1"/>
    <x v="2"/>
    <x v="1"/>
    <n v="30000"/>
    <n v="30196.82"/>
    <n v="196.81999999999971"/>
    <n v="6.5606666666666574E-3"/>
    <s v="Adverse"/>
    <x v="0"/>
  </r>
  <r>
    <s v="2025-03"/>
    <x v="2"/>
    <x v="6"/>
    <x v="1"/>
    <n v="40000"/>
    <n v="41045.71"/>
    <n v="1045.7099999999991"/>
    <n v="2.6142749999999979E-2"/>
    <s v="Adverse"/>
    <x v="0"/>
  </r>
  <r>
    <s v="2025-03"/>
    <x v="2"/>
    <x v="7"/>
    <x v="1"/>
    <n v="55000"/>
    <n v="55368.93"/>
    <n v="368.93000000000029"/>
    <n v="6.7078181818181872E-3"/>
    <s v="Adverse"/>
    <x v="0"/>
  </r>
  <r>
    <s v="2025-03"/>
    <x v="2"/>
    <x v="2"/>
    <x v="1"/>
    <n v="70000"/>
    <n v="71425.72"/>
    <n v="1425.7200000000012"/>
    <n v="2.0367428571428588E-2"/>
    <s v="Adverse"/>
    <x v="0"/>
  </r>
  <r>
    <s v="2025-03"/>
    <x v="3"/>
    <x v="8"/>
    <x v="1"/>
    <n v="18000"/>
    <n v="18036.490000000002"/>
    <n v="36.490000000001601"/>
    <n v="2.0272222222223113E-3"/>
    <s v="Adverse"/>
    <x v="0"/>
  </r>
  <r>
    <s v="2025-03"/>
    <x v="3"/>
    <x v="9"/>
    <x v="1"/>
    <n v="8000"/>
    <n v="8069.39"/>
    <n v="69.390000000000327"/>
    <n v="8.6737500000000408E-3"/>
    <s v="Adverse"/>
    <x v="0"/>
  </r>
  <r>
    <s v="2025-03"/>
    <x v="3"/>
    <x v="2"/>
    <x v="1"/>
    <n v="35000"/>
    <n v="35662.85"/>
    <n v="662.84999999999854"/>
    <n v="1.8938571428571388E-2"/>
    <s v="Adverse"/>
    <x v="0"/>
  </r>
  <r>
    <s v="2025-03"/>
    <x v="4"/>
    <x v="10"/>
    <x v="1"/>
    <n v="6000"/>
    <n v="9504.1"/>
    <n v="3504.1000000000004"/>
    <n v="0.58401666666666674"/>
    <s v="Adverse"/>
    <x v="0"/>
  </r>
  <r>
    <s v="2025-03"/>
    <x v="4"/>
    <x v="11"/>
    <x v="1"/>
    <n v="5000"/>
    <n v="4929.4399999999996"/>
    <n v="-70.5600000000004"/>
    <n v="-1.4112000000000079E-2"/>
    <s v="Favourable"/>
    <x v="0"/>
  </r>
  <r>
    <s v="2025-03"/>
    <x v="4"/>
    <x v="2"/>
    <x v="1"/>
    <n v="20000"/>
    <n v="19616.669999999998"/>
    <n v="-383.33000000000175"/>
    <n v="-1.9166500000000086E-2"/>
    <s v="Favourable"/>
    <x v="0"/>
  </r>
  <r>
    <s v="2025-03"/>
    <x v="5"/>
    <x v="12"/>
    <x v="1"/>
    <n v="7000"/>
    <n v="6942.22"/>
    <n v="-57.779999999999745"/>
    <n v="-8.2542857142856776E-3"/>
    <s v="Favourable"/>
    <x v="0"/>
  </r>
  <r>
    <s v="2025-03"/>
    <x v="5"/>
    <x v="2"/>
    <x v="1"/>
    <n v="25000"/>
    <n v="26121.21"/>
    <n v="1121.2099999999991"/>
    <n v="4.4848399999999962E-2"/>
    <s v="Adverse"/>
    <x v="0"/>
  </r>
  <r>
    <s v="2025-04"/>
    <x v="0"/>
    <x v="0"/>
    <x v="0"/>
    <n v="399000"/>
    <n v="358846.86"/>
    <n v="-40153.140000000014"/>
    <n v="-0.1006344360902256"/>
    <s v="Adverse"/>
    <x v="1"/>
  </r>
  <r>
    <s v="2025-04"/>
    <x v="0"/>
    <x v="1"/>
    <x v="0"/>
    <n v="57000"/>
    <n v="54122.29"/>
    <n v="-2877.7099999999991"/>
    <n v="-5.048614035087718E-2"/>
    <s v="Adverse"/>
    <x v="1"/>
  </r>
  <r>
    <s v="2025-04"/>
    <x v="0"/>
    <x v="2"/>
    <x v="1"/>
    <n v="85000"/>
    <n v="84146.04"/>
    <n v="-853.9600000000064"/>
    <n v="-1.0046588235294193E-2"/>
    <s v="Favourable"/>
    <x v="1"/>
  </r>
  <r>
    <s v="2025-04"/>
    <x v="0"/>
    <x v="3"/>
    <x v="1"/>
    <n v="12000"/>
    <n v="9351.73"/>
    <n v="-2648.2700000000004"/>
    <n v="-0.22068916666666671"/>
    <s v="Favourable"/>
    <x v="1"/>
  </r>
  <r>
    <s v="2025-04"/>
    <x v="1"/>
    <x v="4"/>
    <x v="1"/>
    <n v="45000"/>
    <n v="45960.160000000003"/>
    <n v="960.16000000000349"/>
    <n v="2.1336888888888968E-2"/>
    <s v="Adverse"/>
    <x v="1"/>
  </r>
  <r>
    <s v="2025-04"/>
    <x v="1"/>
    <x v="5"/>
    <x v="1"/>
    <n v="10000"/>
    <n v="10238"/>
    <n v="238"/>
    <n v="2.3800000000000002E-2"/>
    <s v="Adverse"/>
    <x v="1"/>
  </r>
  <r>
    <s v="2025-04"/>
    <x v="1"/>
    <x v="2"/>
    <x v="1"/>
    <n v="30000"/>
    <n v="29686.15"/>
    <n v="-313.84999999999854"/>
    <n v="-1.0461666666666617E-2"/>
    <s v="Favourable"/>
    <x v="1"/>
  </r>
  <r>
    <s v="2025-04"/>
    <x v="2"/>
    <x v="6"/>
    <x v="1"/>
    <n v="40000"/>
    <n v="39445.18"/>
    <n v="-554.81999999999971"/>
    <n v="-1.3870499999999992E-2"/>
    <s v="Favourable"/>
    <x v="1"/>
  </r>
  <r>
    <s v="2025-04"/>
    <x v="2"/>
    <x v="7"/>
    <x v="1"/>
    <n v="55000"/>
    <n v="56415.66"/>
    <n v="1415.6600000000035"/>
    <n v="2.5739272727272791E-2"/>
    <s v="Adverse"/>
    <x v="1"/>
  </r>
  <r>
    <s v="2025-04"/>
    <x v="2"/>
    <x v="2"/>
    <x v="1"/>
    <n v="70000"/>
    <n v="69598.259999999995"/>
    <n v="-401.74000000000524"/>
    <n v="-5.7391428571429322E-3"/>
    <s v="Favourable"/>
    <x v="1"/>
  </r>
  <r>
    <s v="2025-04"/>
    <x v="3"/>
    <x v="8"/>
    <x v="1"/>
    <n v="18000"/>
    <n v="17311.13"/>
    <n v="-688.86999999999898"/>
    <n v="-3.8270555555555502E-2"/>
    <s v="Favourable"/>
    <x v="1"/>
  </r>
  <r>
    <s v="2025-04"/>
    <x v="3"/>
    <x v="9"/>
    <x v="1"/>
    <n v="8000"/>
    <n v="7728.01"/>
    <n v="-271.98999999999978"/>
    <n v="-3.3998749999999973E-2"/>
    <s v="Favourable"/>
    <x v="1"/>
  </r>
  <r>
    <s v="2025-04"/>
    <x v="3"/>
    <x v="2"/>
    <x v="1"/>
    <n v="35000"/>
    <n v="34034.58"/>
    <n v="-965.41999999999825"/>
    <n v="-2.7583428571428523E-2"/>
    <s v="Favourable"/>
    <x v="1"/>
  </r>
  <r>
    <s v="2025-04"/>
    <x v="4"/>
    <x v="10"/>
    <x v="1"/>
    <n v="6000"/>
    <n v="6089.49"/>
    <n v="89.489999999999782"/>
    <n v="1.4914999999999963E-2"/>
    <s v="Adverse"/>
    <x v="1"/>
  </r>
  <r>
    <s v="2025-04"/>
    <x v="4"/>
    <x v="11"/>
    <x v="1"/>
    <n v="5000"/>
    <n v="5021.3599999999997"/>
    <n v="21.359999999999673"/>
    <n v="4.2719999999999347E-3"/>
    <s v="Adverse"/>
    <x v="1"/>
  </r>
  <r>
    <s v="2025-04"/>
    <x v="4"/>
    <x v="2"/>
    <x v="1"/>
    <n v="20000"/>
    <n v="20414.29"/>
    <n v="414.29000000000087"/>
    <n v="2.0714500000000045E-2"/>
    <s v="Adverse"/>
    <x v="1"/>
  </r>
  <r>
    <s v="2025-04"/>
    <x v="5"/>
    <x v="12"/>
    <x v="1"/>
    <n v="7000"/>
    <n v="6910.28"/>
    <n v="-89.720000000000255"/>
    <n v="-1.2817142857142893E-2"/>
    <s v="Favourable"/>
    <x v="1"/>
  </r>
  <r>
    <s v="2025-04"/>
    <x v="5"/>
    <x v="2"/>
    <x v="1"/>
    <n v="25000"/>
    <n v="25118.9"/>
    <n v="118.90000000000146"/>
    <n v="4.7560000000000579E-3"/>
    <s v="Adverse"/>
    <x v="1"/>
  </r>
  <r>
    <s v="2025-05"/>
    <x v="0"/>
    <x v="0"/>
    <x v="0"/>
    <n v="420000"/>
    <n v="367001.49"/>
    <n v="-52998.510000000009"/>
    <n v="-0.1261869285714286"/>
    <s v="Adverse"/>
    <x v="1"/>
  </r>
  <r>
    <s v="2025-05"/>
    <x v="0"/>
    <x v="1"/>
    <x v="0"/>
    <n v="60000"/>
    <n v="60822.2"/>
    <n v="822.19999999999709"/>
    <n v="1.3703333333333284E-2"/>
    <s v="Favourable"/>
    <x v="1"/>
  </r>
  <r>
    <s v="2025-05"/>
    <x v="0"/>
    <x v="2"/>
    <x v="1"/>
    <n v="85000"/>
    <n v="83312.09"/>
    <n v="-1687.9100000000035"/>
    <n v="-1.9857764705882394E-2"/>
    <s v="Favourable"/>
    <x v="1"/>
  </r>
  <r>
    <s v="2025-05"/>
    <x v="0"/>
    <x v="3"/>
    <x v="1"/>
    <n v="12000"/>
    <n v="8770.9599999999991"/>
    <n v="-3229.0400000000009"/>
    <n v="-0.26908666666666675"/>
    <s v="Favourable"/>
    <x v="1"/>
  </r>
  <r>
    <s v="2025-05"/>
    <x v="1"/>
    <x v="4"/>
    <x v="1"/>
    <n v="45000"/>
    <n v="43385.62"/>
    <n v="-1614.3799999999974"/>
    <n v="-3.5875111111111052E-2"/>
    <s v="Favourable"/>
    <x v="1"/>
  </r>
  <r>
    <s v="2025-05"/>
    <x v="1"/>
    <x v="5"/>
    <x v="1"/>
    <n v="10000"/>
    <n v="10146.09"/>
    <n v="146.09000000000015"/>
    <n v="1.4609000000000014E-2"/>
    <s v="Adverse"/>
    <x v="1"/>
  </r>
  <r>
    <s v="2025-05"/>
    <x v="1"/>
    <x v="2"/>
    <x v="1"/>
    <n v="30000"/>
    <n v="29577.54"/>
    <n v="-422.45999999999913"/>
    <n v="-1.4081999999999971E-2"/>
    <s v="Favourable"/>
    <x v="1"/>
  </r>
  <r>
    <s v="2025-05"/>
    <x v="2"/>
    <x v="6"/>
    <x v="1"/>
    <n v="40000"/>
    <n v="40014.99"/>
    <n v="14.989999999997963"/>
    <n v="3.7474999999994907E-4"/>
    <s v="Adverse"/>
    <x v="1"/>
  </r>
  <r>
    <s v="2025-05"/>
    <x v="2"/>
    <x v="7"/>
    <x v="1"/>
    <n v="55000"/>
    <n v="55793.23"/>
    <n v="793.2300000000032"/>
    <n v="1.4422363636363695E-2"/>
    <s v="Adverse"/>
    <x v="1"/>
  </r>
  <r>
    <s v="2025-05"/>
    <x v="2"/>
    <x v="2"/>
    <x v="1"/>
    <n v="70000"/>
    <n v="70937.72"/>
    <n v="937.72000000000116"/>
    <n v="1.3396000000000017E-2"/>
    <s v="Adverse"/>
    <x v="1"/>
  </r>
  <r>
    <s v="2025-05"/>
    <x v="3"/>
    <x v="8"/>
    <x v="1"/>
    <n v="18000"/>
    <n v="18359.310000000001"/>
    <n v="359.31000000000131"/>
    <n v="1.9961666666666739E-2"/>
    <s v="Adverse"/>
    <x v="1"/>
  </r>
  <r>
    <s v="2025-05"/>
    <x v="3"/>
    <x v="9"/>
    <x v="1"/>
    <n v="8000"/>
    <n v="7976.36"/>
    <n v="-23.640000000000327"/>
    <n v="-2.9550000000000409E-3"/>
    <s v="Favourable"/>
    <x v="1"/>
  </r>
  <r>
    <s v="2025-05"/>
    <x v="3"/>
    <x v="2"/>
    <x v="1"/>
    <n v="35000"/>
    <n v="34555.54"/>
    <n v="-444.45999999999913"/>
    <n v="-1.2698857142857118E-2"/>
    <s v="Favourable"/>
    <x v="1"/>
  </r>
  <r>
    <s v="2025-05"/>
    <x v="4"/>
    <x v="10"/>
    <x v="1"/>
    <n v="6000"/>
    <n v="5985.65"/>
    <n v="-14.350000000000364"/>
    <n v="-2.3916666666667272E-3"/>
    <s v="Favourable"/>
    <x v="1"/>
  </r>
  <r>
    <s v="2025-05"/>
    <x v="4"/>
    <x v="11"/>
    <x v="1"/>
    <n v="5000"/>
    <n v="4746.8999999999996"/>
    <n v="-253.10000000000036"/>
    <n v="-5.0620000000000075E-2"/>
    <s v="Favourable"/>
    <x v="1"/>
  </r>
  <r>
    <s v="2025-05"/>
    <x v="4"/>
    <x v="2"/>
    <x v="1"/>
    <n v="20000"/>
    <n v="19131.73"/>
    <n v="-868.27000000000044"/>
    <n v="-4.3413500000000022E-2"/>
    <s v="Favourable"/>
    <x v="1"/>
  </r>
  <r>
    <s v="2025-05"/>
    <x v="5"/>
    <x v="12"/>
    <x v="1"/>
    <n v="7000"/>
    <n v="6722.23"/>
    <n v="-277.77000000000044"/>
    <n v="-3.9681428571428631E-2"/>
    <s v="Favourable"/>
    <x v="1"/>
  </r>
  <r>
    <s v="2025-05"/>
    <x v="5"/>
    <x v="2"/>
    <x v="1"/>
    <n v="25000"/>
    <n v="24252.06"/>
    <n v="-747.93999999999869"/>
    <n v="-2.9917599999999947E-2"/>
    <s v="Favourable"/>
    <x v="1"/>
  </r>
  <r>
    <s v="2025-06"/>
    <x v="0"/>
    <x v="0"/>
    <x v="0"/>
    <n v="420000"/>
    <n v="361993.98"/>
    <n v="-58006.020000000019"/>
    <n v="-0.13810957142857147"/>
    <s v="Adverse"/>
    <x v="1"/>
  </r>
  <r>
    <s v="2025-06"/>
    <x v="0"/>
    <x v="1"/>
    <x v="0"/>
    <n v="60000"/>
    <n v="59319.31"/>
    <n v="-680.69000000000233"/>
    <n v="-1.1344833333333372E-2"/>
    <s v="Adverse"/>
    <x v="1"/>
  </r>
  <r>
    <s v="2025-06"/>
    <x v="0"/>
    <x v="2"/>
    <x v="1"/>
    <n v="85000"/>
    <n v="88313.03"/>
    <n v="3313.0299999999988"/>
    <n v="3.8976823529411751E-2"/>
    <s v="Adverse"/>
    <x v="1"/>
  </r>
  <r>
    <s v="2025-06"/>
    <x v="0"/>
    <x v="3"/>
    <x v="1"/>
    <n v="12000"/>
    <n v="9442.51"/>
    <n v="-2557.4899999999998"/>
    <n v="-0.21312416666666664"/>
    <s v="Favourable"/>
    <x v="1"/>
  </r>
  <r>
    <s v="2025-06"/>
    <x v="1"/>
    <x v="4"/>
    <x v="1"/>
    <n v="45000"/>
    <n v="43739.62"/>
    <n v="-1260.3799999999974"/>
    <n v="-2.8008444444444388E-2"/>
    <s v="Favourable"/>
    <x v="1"/>
  </r>
  <r>
    <s v="2025-06"/>
    <x v="1"/>
    <x v="5"/>
    <x v="1"/>
    <n v="10000"/>
    <n v="9938.3700000000008"/>
    <n v="-61.6299999999992"/>
    <n v="-6.1629999999999203E-3"/>
    <s v="Favourable"/>
    <x v="1"/>
  </r>
  <r>
    <s v="2025-06"/>
    <x v="1"/>
    <x v="2"/>
    <x v="1"/>
    <n v="30000"/>
    <n v="29144.98"/>
    <n v="-855.02000000000044"/>
    <n v="-2.8500666666666681E-2"/>
    <s v="Favourable"/>
    <x v="1"/>
  </r>
  <r>
    <s v="2025-06"/>
    <x v="2"/>
    <x v="6"/>
    <x v="1"/>
    <n v="40000"/>
    <n v="39593.160000000003"/>
    <n v="-406.83999999999651"/>
    <n v="-1.0170999999999913E-2"/>
    <s v="Favourable"/>
    <x v="1"/>
  </r>
  <r>
    <s v="2025-06"/>
    <x v="2"/>
    <x v="7"/>
    <x v="1"/>
    <n v="55000"/>
    <n v="56386.51"/>
    <n v="1386.510000000002"/>
    <n v="2.5209272727272764E-2"/>
    <s v="Adverse"/>
    <x v="1"/>
  </r>
  <r>
    <s v="2025-06"/>
    <x v="2"/>
    <x v="2"/>
    <x v="1"/>
    <n v="70000"/>
    <n v="66372.63"/>
    <n v="-3627.3699999999953"/>
    <n v="-5.1819571428571361E-2"/>
    <s v="Favourable"/>
    <x v="1"/>
  </r>
  <r>
    <s v="2025-06"/>
    <x v="3"/>
    <x v="8"/>
    <x v="1"/>
    <n v="18000"/>
    <n v="18234.59"/>
    <n v="234.59000000000015"/>
    <n v="1.3032777777777785E-2"/>
    <s v="Adverse"/>
    <x v="1"/>
  </r>
  <r>
    <s v="2025-06"/>
    <x v="3"/>
    <x v="9"/>
    <x v="1"/>
    <n v="8000"/>
    <n v="8057.06"/>
    <n v="57.0600000000004"/>
    <n v="7.1325000000000503E-3"/>
    <s v="Adverse"/>
    <x v="1"/>
  </r>
  <r>
    <s v="2025-06"/>
    <x v="3"/>
    <x v="2"/>
    <x v="1"/>
    <n v="35000"/>
    <n v="34376.14"/>
    <n v="-623.86000000000058"/>
    <n v="-1.7824571428571447E-2"/>
    <s v="Favourable"/>
    <x v="1"/>
  </r>
  <r>
    <s v="2025-06"/>
    <x v="4"/>
    <x v="10"/>
    <x v="1"/>
    <n v="6000"/>
    <n v="5739.71"/>
    <n v="-260.28999999999996"/>
    <n v="-4.3381666666666659E-2"/>
    <s v="Favourable"/>
    <x v="1"/>
  </r>
  <r>
    <s v="2025-06"/>
    <x v="4"/>
    <x v="11"/>
    <x v="1"/>
    <n v="5000"/>
    <n v="5010.82"/>
    <n v="10.819999999999709"/>
    <n v="2.1639999999999416E-3"/>
    <s v="Adverse"/>
    <x v="1"/>
  </r>
  <r>
    <s v="2025-06"/>
    <x v="4"/>
    <x v="2"/>
    <x v="1"/>
    <n v="20000"/>
    <n v="19682.3"/>
    <n v="-317.70000000000073"/>
    <n v="-1.5885000000000038E-2"/>
    <s v="Favourable"/>
    <x v="1"/>
  </r>
  <r>
    <s v="2025-06"/>
    <x v="5"/>
    <x v="12"/>
    <x v="1"/>
    <n v="7000"/>
    <n v="7048.86"/>
    <n v="48.859999999999673"/>
    <n v="6.9799999999999533E-3"/>
    <s v="Adverse"/>
    <x v="1"/>
  </r>
  <r>
    <s v="2025-06"/>
    <x v="5"/>
    <x v="2"/>
    <x v="1"/>
    <n v="25000"/>
    <n v="25016.39"/>
    <n v="16.389999999999418"/>
    <n v="6.5559999999997669E-4"/>
    <s v="Adverse"/>
    <x v="1"/>
  </r>
  <r>
    <s v="2025-07"/>
    <x v="0"/>
    <x v="0"/>
    <x v="0"/>
    <n v="399000"/>
    <n v="418173.29"/>
    <n v="19173.289999999979"/>
    <n v="4.8053358395989926E-2"/>
    <s v="Favourable"/>
    <x v="2"/>
  </r>
  <r>
    <s v="2025-07"/>
    <x v="0"/>
    <x v="1"/>
    <x v="0"/>
    <n v="57000"/>
    <n v="56590.7"/>
    <n v="-409.30000000000291"/>
    <n v="-7.1807017543860157E-3"/>
    <s v="Adverse"/>
    <x v="2"/>
  </r>
  <r>
    <s v="2025-07"/>
    <x v="0"/>
    <x v="2"/>
    <x v="1"/>
    <n v="85000"/>
    <n v="82390.080000000002"/>
    <n v="-2609.9199999999983"/>
    <n v="-3.0704941176470567E-2"/>
    <s v="Favourable"/>
    <x v="2"/>
  </r>
  <r>
    <s v="2025-07"/>
    <x v="0"/>
    <x v="3"/>
    <x v="1"/>
    <n v="12000"/>
    <n v="9132"/>
    <n v="-2868"/>
    <n v="-0.23899999999999999"/>
    <s v="Favourable"/>
    <x v="2"/>
  </r>
  <r>
    <s v="2025-07"/>
    <x v="1"/>
    <x v="4"/>
    <x v="1"/>
    <n v="45000"/>
    <n v="46834.9"/>
    <n v="1834.9000000000015"/>
    <n v="4.0775555555555586E-2"/>
    <s v="Adverse"/>
    <x v="2"/>
  </r>
  <r>
    <s v="2025-07"/>
    <x v="1"/>
    <x v="5"/>
    <x v="1"/>
    <n v="10000"/>
    <n v="10250.530000000001"/>
    <n v="250.53000000000065"/>
    <n v="2.5053000000000065E-2"/>
    <s v="Adverse"/>
    <x v="2"/>
  </r>
  <r>
    <s v="2025-07"/>
    <x v="1"/>
    <x v="2"/>
    <x v="1"/>
    <n v="30000"/>
    <n v="30321.18"/>
    <n v="321.18000000000029"/>
    <n v="1.0706000000000009E-2"/>
    <s v="Adverse"/>
    <x v="2"/>
  </r>
  <r>
    <s v="2025-07"/>
    <x v="2"/>
    <x v="6"/>
    <x v="1"/>
    <n v="40000"/>
    <n v="41755.96"/>
    <n v="1755.9599999999991"/>
    <n v="4.389899999999998E-2"/>
    <s v="Adverse"/>
    <x v="2"/>
  </r>
  <r>
    <s v="2025-07"/>
    <x v="2"/>
    <x v="7"/>
    <x v="1"/>
    <n v="55000"/>
    <n v="53038.54"/>
    <n v="-1961.4599999999991"/>
    <n v="-3.5662909090909078E-2"/>
    <s v="Favourable"/>
    <x v="2"/>
  </r>
  <r>
    <s v="2025-07"/>
    <x v="2"/>
    <x v="2"/>
    <x v="1"/>
    <n v="70000"/>
    <n v="68656.52"/>
    <n v="-1343.4799999999959"/>
    <n v="-1.9192571428571371E-2"/>
    <s v="Favourable"/>
    <x v="2"/>
  </r>
  <r>
    <s v="2025-07"/>
    <x v="3"/>
    <x v="8"/>
    <x v="1"/>
    <n v="18000"/>
    <n v="22359.67"/>
    <n v="4359.6699999999983"/>
    <n v="0.2422038888888888"/>
    <s v="Adverse"/>
    <x v="2"/>
  </r>
  <r>
    <s v="2025-07"/>
    <x v="3"/>
    <x v="9"/>
    <x v="1"/>
    <n v="8000"/>
    <n v="7669.6"/>
    <n v="-330.39999999999964"/>
    <n v="-4.1299999999999955E-2"/>
    <s v="Favourable"/>
    <x v="2"/>
  </r>
  <r>
    <s v="2025-07"/>
    <x v="3"/>
    <x v="2"/>
    <x v="1"/>
    <n v="35000"/>
    <n v="35666.910000000003"/>
    <n v="666.91000000000349"/>
    <n v="1.9054571428571528E-2"/>
    <s v="Adverse"/>
    <x v="2"/>
  </r>
  <r>
    <s v="2025-07"/>
    <x v="4"/>
    <x v="10"/>
    <x v="1"/>
    <n v="6000"/>
    <n v="5960"/>
    <n v="-40"/>
    <n v="-6.6666666666666671E-3"/>
    <s v="Favourable"/>
    <x v="2"/>
  </r>
  <r>
    <s v="2025-07"/>
    <x v="4"/>
    <x v="11"/>
    <x v="1"/>
    <n v="5000"/>
    <n v="4779.38"/>
    <n v="-220.61999999999989"/>
    <n v="-4.4123999999999976E-2"/>
    <s v="Favourable"/>
    <x v="2"/>
  </r>
  <r>
    <s v="2025-07"/>
    <x v="4"/>
    <x v="2"/>
    <x v="1"/>
    <n v="20000"/>
    <n v="19390.650000000001"/>
    <n v="-609.34999999999854"/>
    <n v="-3.0467499999999929E-2"/>
    <s v="Favourable"/>
    <x v="2"/>
  </r>
  <r>
    <s v="2025-07"/>
    <x v="5"/>
    <x v="12"/>
    <x v="1"/>
    <n v="7000"/>
    <n v="7065.84"/>
    <n v="65.840000000000146"/>
    <n v="9.4057142857143072E-3"/>
    <s v="Adverse"/>
    <x v="2"/>
  </r>
  <r>
    <s v="2025-07"/>
    <x v="5"/>
    <x v="2"/>
    <x v="1"/>
    <n v="25000"/>
    <n v="25628.59"/>
    <n v="628.59000000000015"/>
    <n v="2.5143600000000006E-2"/>
    <s v="Adverse"/>
    <x v="2"/>
  </r>
  <r>
    <s v="2025-08"/>
    <x v="0"/>
    <x v="0"/>
    <x v="0"/>
    <n v="399000"/>
    <n v="422900.87"/>
    <n v="23900.869999999995"/>
    <n v="5.9901929824561391E-2"/>
    <s v="Favourable"/>
    <x v="2"/>
  </r>
  <r>
    <s v="2025-08"/>
    <x v="0"/>
    <x v="1"/>
    <x v="0"/>
    <n v="57000"/>
    <n v="61982.7"/>
    <n v="4982.6999999999971"/>
    <n v="8.7415789473684155E-2"/>
    <s v="Favourable"/>
    <x v="2"/>
  </r>
  <r>
    <s v="2025-08"/>
    <x v="0"/>
    <x v="2"/>
    <x v="1"/>
    <n v="85000"/>
    <n v="86056.74"/>
    <n v="1056.7400000000052"/>
    <n v="1.2432235294117709E-2"/>
    <s v="Adverse"/>
    <x v="2"/>
  </r>
  <r>
    <s v="2025-08"/>
    <x v="0"/>
    <x v="3"/>
    <x v="1"/>
    <n v="12000"/>
    <n v="7720.77"/>
    <n v="-4279.2299999999996"/>
    <n v="-0.35660249999999999"/>
    <s v="Favourable"/>
    <x v="2"/>
  </r>
  <r>
    <s v="2025-08"/>
    <x v="1"/>
    <x v="4"/>
    <x v="1"/>
    <n v="45000"/>
    <n v="45361.41"/>
    <n v="361.41000000000349"/>
    <n v="8.0313333333334111E-3"/>
    <s v="Adverse"/>
    <x v="2"/>
  </r>
  <r>
    <s v="2025-08"/>
    <x v="1"/>
    <x v="5"/>
    <x v="1"/>
    <n v="10000"/>
    <n v="9756.1200000000008"/>
    <n v="-243.8799999999992"/>
    <n v="-2.438799999999992E-2"/>
    <s v="Favourable"/>
    <x v="2"/>
  </r>
  <r>
    <s v="2025-08"/>
    <x v="1"/>
    <x v="2"/>
    <x v="1"/>
    <n v="30000"/>
    <n v="29626.18"/>
    <n v="-373.81999999999971"/>
    <n v="-1.2460666666666656E-2"/>
    <s v="Favourable"/>
    <x v="2"/>
  </r>
  <r>
    <s v="2025-08"/>
    <x v="2"/>
    <x v="6"/>
    <x v="1"/>
    <n v="40000"/>
    <n v="39265.480000000003"/>
    <n v="-734.5199999999968"/>
    <n v="-1.8362999999999921E-2"/>
    <s v="Favourable"/>
    <x v="2"/>
  </r>
  <r>
    <s v="2025-08"/>
    <x v="2"/>
    <x v="7"/>
    <x v="1"/>
    <n v="55000"/>
    <n v="54767.7"/>
    <n v="-232.30000000000291"/>
    <n v="-4.2236363636364163E-3"/>
    <s v="Favourable"/>
    <x v="2"/>
  </r>
  <r>
    <s v="2025-08"/>
    <x v="2"/>
    <x v="2"/>
    <x v="1"/>
    <n v="70000"/>
    <n v="72238.559999999998"/>
    <n v="2238.5599999999977"/>
    <n v="3.1979428571428541E-2"/>
    <s v="Adverse"/>
    <x v="2"/>
  </r>
  <r>
    <s v="2025-08"/>
    <x v="3"/>
    <x v="8"/>
    <x v="1"/>
    <n v="18000"/>
    <n v="22442.89"/>
    <n v="4442.8899999999994"/>
    <n v="0.2468272222222222"/>
    <s v="Adverse"/>
    <x v="2"/>
  </r>
  <r>
    <s v="2025-08"/>
    <x v="3"/>
    <x v="9"/>
    <x v="1"/>
    <n v="8000"/>
    <n v="7751.44"/>
    <n v="-248.5600000000004"/>
    <n v="-3.1070000000000049E-2"/>
    <s v="Favourable"/>
    <x v="2"/>
  </r>
  <r>
    <s v="2025-08"/>
    <x v="3"/>
    <x v="2"/>
    <x v="1"/>
    <n v="35000"/>
    <n v="33241.58"/>
    <n v="-1758.4199999999983"/>
    <n v="-5.0240571428571378E-2"/>
    <s v="Favourable"/>
    <x v="2"/>
  </r>
  <r>
    <s v="2025-08"/>
    <x v="4"/>
    <x v="10"/>
    <x v="1"/>
    <n v="6000"/>
    <n v="5912.46"/>
    <n v="-87.539999999999964"/>
    <n v="-1.4589999999999994E-2"/>
    <s v="Favourable"/>
    <x v="2"/>
  </r>
  <r>
    <s v="2025-08"/>
    <x v="4"/>
    <x v="11"/>
    <x v="1"/>
    <n v="5000"/>
    <n v="4991.93"/>
    <n v="-8.069999999999709"/>
    <n v="-1.6139999999999419E-3"/>
    <s v="Favourable"/>
    <x v="2"/>
  </r>
  <r>
    <s v="2025-08"/>
    <x v="4"/>
    <x v="2"/>
    <x v="1"/>
    <n v="20000"/>
    <n v="21060.76"/>
    <n v="1060.7599999999984"/>
    <n v="5.3037999999999919E-2"/>
    <s v="Adverse"/>
    <x v="2"/>
  </r>
  <r>
    <s v="2025-08"/>
    <x v="5"/>
    <x v="12"/>
    <x v="1"/>
    <n v="7000"/>
    <n v="7027.36"/>
    <n v="27.359999999999673"/>
    <n v="3.9085714285713819E-3"/>
    <s v="Adverse"/>
    <x v="2"/>
  </r>
  <r>
    <s v="2025-08"/>
    <x v="5"/>
    <x v="2"/>
    <x v="1"/>
    <n v="25000"/>
    <n v="25737.05"/>
    <n v="737.04999999999927"/>
    <n v="2.948199999999997E-2"/>
    <s v="Adverse"/>
    <x v="2"/>
  </r>
  <r>
    <s v="2025-09"/>
    <x v="0"/>
    <x v="0"/>
    <x v="0"/>
    <n v="420000"/>
    <n v="413708.88"/>
    <n v="-6291.1199999999953"/>
    <n v="-1.4978857142857132E-2"/>
    <s v="Adverse"/>
    <x v="2"/>
  </r>
  <r>
    <s v="2025-09"/>
    <x v="0"/>
    <x v="1"/>
    <x v="0"/>
    <n v="60000"/>
    <n v="57867.1"/>
    <n v="-2132.9000000000015"/>
    <n v="-3.5548333333333355E-2"/>
    <s v="Adverse"/>
    <x v="2"/>
  </r>
  <r>
    <s v="2025-09"/>
    <x v="0"/>
    <x v="2"/>
    <x v="1"/>
    <n v="85000"/>
    <n v="82538.95"/>
    <n v="-2461.0500000000029"/>
    <n v="-2.8953529411764739E-2"/>
    <s v="Favourable"/>
    <x v="2"/>
  </r>
  <r>
    <s v="2025-09"/>
    <x v="0"/>
    <x v="3"/>
    <x v="1"/>
    <n v="12000"/>
    <n v="10277.08"/>
    <n v="-1722.92"/>
    <n v="-0.14357666666666669"/>
    <s v="Favourable"/>
    <x v="2"/>
  </r>
  <r>
    <s v="2025-09"/>
    <x v="1"/>
    <x v="4"/>
    <x v="1"/>
    <n v="45000"/>
    <n v="43891.13"/>
    <n v="-1108.8700000000026"/>
    <n v="-2.4641555555555614E-2"/>
    <s v="Favourable"/>
    <x v="2"/>
  </r>
  <r>
    <s v="2025-09"/>
    <x v="1"/>
    <x v="5"/>
    <x v="1"/>
    <n v="10000"/>
    <n v="10251.549999999999"/>
    <n v="251.54999999999927"/>
    <n v="2.5154999999999927E-2"/>
    <s v="Adverse"/>
    <x v="2"/>
  </r>
  <r>
    <s v="2025-09"/>
    <x v="1"/>
    <x v="2"/>
    <x v="1"/>
    <n v="30000"/>
    <n v="29187.37"/>
    <n v="-812.63000000000102"/>
    <n v="-2.7087666666666701E-2"/>
    <s v="Favourable"/>
    <x v="2"/>
  </r>
  <r>
    <s v="2025-09"/>
    <x v="2"/>
    <x v="6"/>
    <x v="1"/>
    <n v="40000"/>
    <n v="41117.89"/>
    <n v="1117.8899999999994"/>
    <n v="2.7947249999999986E-2"/>
    <s v="Adverse"/>
    <x v="2"/>
  </r>
  <r>
    <s v="2025-09"/>
    <x v="2"/>
    <x v="7"/>
    <x v="1"/>
    <n v="55000"/>
    <n v="55635.17"/>
    <n v="635.16999999999825"/>
    <n v="1.1548545454545422E-2"/>
    <s v="Adverse"/>
    <x v="2"/>
  </r>
  <r>
    <s v="2025-09"/>
    <x v="2"/>
    <x v="2"/>
    <x v="1"/>
    <n v="70000"/>
    <n v="69671.06"/>
    <n v="-328.94000000000233"/>
    <n v="-4.6991428571428904E-3"/>
    <s v="Favourable"/>
    <x v="2"/>
  </r>
  <r>
    <s v="2025-09"/>
    <x v="3"/>
    <x v="8"/>
    <x v="1"/>
    <n v="18000"/>
    <n v="22264.28"/>
    <n v="4264.2799999999988"/>
    <n v="0.23690444444444439"/>
    <s v="Adverse"/>
    <x v="2"/>
  </r>
  <r>
    <s v="2025-09"/>
    <x v="3"/>
    <x v="9"/>
    <x v="1"/>
    <n v="8000"/>
    <n v="8107.06"/>
    <n v="107.0600000000004"/>
    <n v="1.3382500000000051E-2"/>
    <s v="Adverse"/>
    <x v="2"/>
  </r>
  <r>
    <s v="2025-09"/>
    <x v="3"/>
    <x v="2"/>
    <x v="1"/>
    <n v="35000"/>
    <n v="34522.269999999997"/>
    <n v="-477.7300000000032"/>
    <n v="-1.3649428571428663E-2"/>
    <s v="Favourable"/>
    <x v="2"/>
  </r>
  <r>
    <s v="2025-09"/>
    <x v="4"/>
    <x v="10"/>
    <x v="1"/>
    <n v="6000"/>
    <n v="9216.6200000000008"/>
    <n v="3216.6200000000008"/>
    <n v="0.53610333333333349"/>
    <s v="Adverse"/>
    <x v="2"/>
  </r>
  <r>
    <s v="2025-09"/>
    <x v="4"/>
    <x v="11"/>
    <x v="1"/>
    <n v="5000"/>
    <n v="5025.8900000000003"/>
    <n v="25.890000000000327"/>
    <n v="5.1780000000000654E-3"/>
    <s v="Adverse"/>
    <x v="2"/>
  </r>
  <r>
    <s v="2025-09"/>
    <x v="4"/>
    <x v="2"/>
    <x v="1"/>
    <n v="20000"/>
    <n v="20947.45"/>
    <n v="947.45000000000073"/>
    <n v="4.737250000000004E-2"/>
    <s v="Adverse"/>
    <x v="2"/>
  </r>
  <r>
    <s v="2025-09"/>
    <x v="5"/>
    <x v="12"/>
    <x v="1"/>
    <n v="7000"/>
    <n v="7033.6"/>
    <n v="33.600000000000364"/>
    <n v="4.8000000000000516E-3"/>
    <s v="Adverse"/>
    <x v="2"/>
  </r>
  <r>
    <s v="2025-09"/>
    <x v="5"/>
    <x v="2"/>
    <x v="1"/>
    <n v="25000"/>
    <n v="24911.02"/>
    <n v="-88.979999999999563"/>
    <n v="-3.5591999999999824E-3"/>
    <s v="Favourable"/>
    <x v="2"/>
  </r>
  <r>
    <s v="2025-10"/>
    <x v="0"/>
    <x v="0"/>
    <x v="0"/>
    <n v="462000"/>
    <n v="465961.55"/>
    <n v="3961.5499999999884"/>
    <n v="8.574783549783525E-3"/>
    <s v="Favourable"/>
    <x v="3"/>
  </r>
  <r>
    <s v="2025-10"/>
    <x v="0"/>
    <x v="1"/>
    <x v="0"/>
    <n v="66000"/>
    <n v="68585.88"/>
    <n v="2585.8800000000047"/>
    <n v="3.9180000000000069E-2"/>
    <s v="Favourable"/>
    <x v="3"/>
  </r>
  <r>
    <s v="2025-10"/>
    <x v="0"/>
    <x v="2"/>
    <x v="1"/>
    <n v="85000"/>
    <n v="85559.43"/>
    <n v="559.42999999999302"/>
    <n v="6.5815294117646233E-3"/>
    <s v="Adverse"/>
    <x v="3"/>
  </r>
  <r>
    <s v="2025-10"/>
    <x v="0"/>
    <x v="3"/>
    <x v="1"/>
    <n v="12000"/>
    <n v="9663.77"/>
    <n v="-2336.2299999999996"/>
    <n v="-0.19468583333333331"/>
    <s v="Favourable"/>
    <x v="3"/>
  </r>
  <r>
    <s v="2025-10"/>
    <x v="1"/>
    <x v="4"/>
    <x v="1"/>
    <n v="45000"/>
    <n v="62823.27"/>
    <n v="17823.269999999997"/>
    <n v="0.39607266666666657"/>
    <s v="Adverse"/>
    <x v="3"/>
  </r>
  <r>
    <s v="2025-10"/>
    <x v="1"/>
    <x v="5"/>
    <x v="1"/>
    <n v="10000"/>
    <n v="10054.969999999999"/>
    <n v="54.969999999999345"/>
    <n v="5.4969999999999342E-3"/>
    <s v="Adverse"/>
    <x v="3"/>
  </r>
  <r>
    <s v="2025-10"/>
    <x v="1"/>
    <x v="2"/>
    <x v="1"/>
    <n v="30000"/>
    <n v="28897.98"/>
    <n v="-1102.0200000000004"/>
    <n v="-3.6734000000000017E-2"/>
    <s v="Favourable"/>
    <x v="3"/>
  </r>
  <r>
    <s v="2025-10"/>
    <x v="2"/>
    <x v="6"/>
    <x v="1"/>
    <n v="40000"/>
    <n v="38358.21"/>
    <n v="-1641.7900000000009"/>
    <n v="-4.1044750000000019E-2"/>
    <s v="Favourable"/>
    <x v="3"/>
  </r>
  <r>
    <s v="2025-10"/>
    <x v="2"/>
    <x v="7"/>
    <x v="1"/>
    <n v="55000"/>
    <n v="57724.03"/>
    <n v="2724.0299999999988"/>
    <n v="4.9527818181818159E-2"/>
    <s v="Adverse"/>
    <x v="3"/>
  </r>
  <r>
    <s v="2025-10"/>
    <x v="2"/>
    <x v="2"/>
    <x v="1"/>
    <n v="70000"/>
    <n v="73619.7"/>
    <n v="3619.6999999999971"/>
    <n v="5.1709999999999957E-2"/>
    <s v="Adverse"/>
    <x v="3"/>
  </r>
  <r>
    <s v="2025-10"/>
    <x v="3"/>
    <x v="8"/>
    <x v="1"/>
    <n v="18000"/>
    <n v="22362.05"/>
    <n v="4362.0499999999993"/>
    <n v="0.24233611111111106"/>
    <s v="Adverse"/>
    <x v="3"/>
  </r>
  <r>
    <s v="2025-10"/>
    <x v="3"/>
    <x v="9"/>
    <x v="1"/>
    <n v="8000"/>
    <n v="8350.75"/>
    <n v="350.75"/>
    <n v="4.3843750000000001E-2"/>
    <s v="Adverse"/>
    <x v="3"/>
  </r>
  <r>
    <s v="2025-10"/>
    <x v="3"/>
    <x v="2"/>
    <x v="1"/>
    <n v="35000"/>
    <n v="33837.599999999999"/>
    <n v="-1162.4000000000015"/>
    <n v="-3.3211428571428614E-2"/>
    <s v="Favourable"/>
    <x v="3"/>
  </r>
  <r>
    <s v="2025-10"/>
    <x v="4"/>
    <x v="10"/>
    <x v="1"/>
    <n v="6000"/>
    <n v="5838.95"/>
    <n v="-161.05000000000018"/>
    <n v="-2.6841666666666698E-2"/>
    <s v="Favourable"/>
    <x v="3"/>
  </r>
  <r>
    <s v="2025-10"/>
    <x v="4"/>
    <x v="11"/>
    <x v="1"/>
    <n v="5000"/>
    <n v="5096.5"/>
    <n v="96.5"/>
    <n v="1.9300000000000001E-2"/>
    <s v="Adverse"/>
    <x v="3"/>
  </r>
  <r>
    <s v="2025-10"/>
    <x v="4"/>
    <x v="2"/>
    <x v="1"/>
    <n v="20000"/>
    <n v="19763.240000000002"/>
    <n v="-236.7599999999984"/>
    <n v="-1.183799999999992E-2"/>
    <s v="Favourable"/>
    <x v="3"/>
  </r>
  <r>
    <s v="2025-10"/>
    <x v="5"/>
    <x v="12"/>
    <x v="1"/>
    <n v="7000"/>
    <n v="6998.92"/>
    <n v="-1.0799999999999272"/>
    <n v="-1.542857142857039E-4"/>
    <s v="Favourable"/>
    <x v="3"/>
  </r>
  <r>
    <s v="2025-10"/>
    <x v="5"/>
    <x v="2"/>
    <x v="1"/>
    <n v="25000"/>
    <n v="24877.42"/>
    <n v="-122.58000000000175"/>
    <n v="-4.9032000000000702E-3"/>
    <s v="Favourable"/>
    <x v="3"/>
  </r>
  <r>
    <s v="2025-11"/>
    <x v="0"/>
    <x v="0"/>
    <x v="0"/>
    <n v="504000"/>
    <n v="509104.13"/>
    <n v="5104.1300000000047"/>
    <n v="1.0127242063492073E-2"/>
    <s v="Favourable"/>
    <x v="3"/>
  </r>
  <r>
    <s v="2025-11"/>
    <x v="0"/>
    <x v="1"/>
    <x v="0"/>
    <n v="72000"/>
    <n v="75040.160000000003"/>
    <n v="3040.1600000000035"/>
    <n v="4.2224444444444495E-2"/>
    <s v="Favourable"/>
    <x v="3"/>
  </r>
  <r>
    <s v="2025-11"/>
    <x v="0"/>
    <x v="2"/>
    <x v="1"/>
    <n v="85000"/>
    <n v="85230.99"/>
    <n v="230.99000000000524"/>
    <n v="2.7175294117647675E-3"/>
    <s v="Adverse"/>
    <x v="3"/>
  </r>
  <r>
    <s v="2025-11"/>
    <x v="0"/>
    <x v="3"/>
    <x v="1"/>
    <n v="12000"/>
    <n v="7769.9"/>
    <n v="-4230.1000000000004"/>
    <n v="-0.35250833333333337"/>
    <s v="Favourable"/>
    <x v="3"/>
  </r>
  <r>
    <s v="2025-11"/>
    <x v="1"/>
    <x v="4"/>
    <x v="1"/>
    <n v="45000"/>
    <n v="59611.64"/>
    <n v="14611.64"/>
    <n v="0.32470311111111111"/>
    <s v="Adverse"/>
    <x v="3"/>
  </r>
  <r>
    <s v="2025-11"/>
    <x v="1"/>
    <x v="5"/>
    <x v="1"/>
    <n v="10000"/>
    <n v="9634.36"/>
    <n v="-365.63999999999942"/>
    <n v="-3.6563999999999944E-2"/>
    <s v="Favourable"/>
    <x v="3"/>
  </r>
  <r>
    <s v="2025-11"/>
    <x v="1"/>
    <x v="2"/>
    <x v="1"/>
    <n v="30000"/>
    <n v="29209.66"/>
    <n v="-790.34000000000015"/>
    <n v="-2.6344666666666672E-2"/>
    <s v="Favourable"/>
    <x v="3"/>
  </r>
  <r>
    <s v="2025-11"/>
    <x v="2"/>
    <x v="6"/>
    <x v="1"/>
    <n v="40000"/>
    <n v="39599.050000000003"/>
    <n v="-400.94999999999709"/>
    <n v="-1.0023749999999927E-2"/>
    <s v="Favourable"/>
    <x v="3"/>
  </r>
  <r>
    <s v="2025-11"/>
    <x v="2"/>
    <x v="7"/>
    <x v="1"/>
    <n v="55000"/>
    <n v="63811.45"/>
    <n v="8811.4499999999971"/>
    <n v="0.16020818181818178"/>
    <s v="Adverse"/>
    <x v="3"/>
  </r>
  <r>
    <s v="2025-11"/>
    <x v="2"/>
    <x v="2"/>
    <x v="1"/>
    <n v="70000"/>
    <n v="70064.33"/>
    <n v="64.330000000001746"/>
    <n v="9.1900000000002494E-4"/>
    <s v="Adverse"/>
    <x v="3"/>
  </r>
  <r>
    <s v="2025-11"/>
    <x v="3"/>
    <x v="8"/>
    <x v="1"/>
    <n v="18000"/>
    <n v="22382.04"/>
    <n v="4382.0400000000009"/>
    <n v="0.24344666666666673"/>
    <s v="Adverse"/>
    <x v="3"/>
  </r>
  <r>
    <s v="2025-11"/>
    <x v="3"/>
    <x v="9"/>
    <x v="1"/>
    <n v="8000"/>
    <n v="8240.66"/>
    <n v="240.65999999999985"/>
    <n v="3.0082499999999981E-2"/>
    <s v="Adverse"/>
    <x v="3"/>
  </r>
  <r>
    <s v="2025-11"/>
    <x v="3"/>
    <x v="2"/>
    <x v="1"/>
    <n v="35000"/>
    <n v="35565.019999999997"/>
    <n v="565.0199999999968"/>
    <n v="1.6143428571428479E-2"/>
    <s v="Adverse"/>
    <x v="3"/>
  </r>
  <r>
    <s v="2025-11"/>
    <x v="4"/>
    <x v="10"/>
    <x v="1"/>
    <n v="6000"/>
    <n v="6240.73"/>
    <n v="240.72999999999956"/>
    <n v="4.0121666666666597E-2"/>
    <s v="Adverse"/>
    <x v="3"/>
  </r>
  <r>
    <s v="2025-11"/>
    <x v="4"/>
    <x v="11"/>
    <x v="1"/>
    <n v="5000"/>
    <n v="4976.82"/>
    <n v="-23.180000000000291"/>
    <n v="-4.6360000000000585E-3"/>
    <s v="Favourable"/>
    <x v="3"/>
  </r>
  <r>
    <s v="2025-11"/>
    <x v="4"/>
    <x v="2"/>
    <x v="1"/>
    <n v="20000"/>
    <n v="19582.43"/>
    <n v="-417.56999999999971"/>
    <n v="-2.0878499999999984E-2"/>
    <s v="Favourable"/>
    <x v="3"/>
  </r>
  <r>
    <s v="2025-11"/>
    <x v="5"/>
    <x v="12"/>
    <x v="1"/>
    <n v="7000"/>
    <n v="6952.99"/>
    <n v="-47.010000000000218"/>
    <n v="-6.715714285714317E-3"/>
    <s v="Favourable"/>
    <x v="3"/>
  </r>
  <r>
    <s v="2025-11"/>
    <x v="5"/>
    <x v="2"/>
    <x v="1"/>
    <n v="25000"/>
    <n v="25181.87"/>
    <n v="181.86999999999898"/>
    <n v="7.2747999999999589E-3"/>
    <s v="Adverse"/>
    <x v="3"/>
  </r>
  <r>
    <s v="2025-12"/>
    <x v="0"/>
    <x v="0"/>
    <x v="0"/>
    <n v="546000"/>
    <n v="548892.27"/>
    <n v="2892.2700000000186"/>
    <n v="5.297197802197836E-3"/>
    <s v="Favourable"/>
    <x v="3"/>
  </r>
  <r>
    <s v="2025-12"/>
    <x v="0"/>
    <x v="1"/>
    <x v="0"/>
    <n v="78000"/>
    <n v="75462.53"/>
    <n v="-2537.4700000000012"/>
    <n v="-3.2531666666666681E-2"/>
    <s v="Adverse"/>
    <x v="3"/>
  </r>
  <r>
    <s v="2025-12"/>
    <x v="0"/>
    <x v="2"/>
    <x v="1"/>
    <n v="85000"/>
    <n v="85230.75"/>
    <n v="230.75"/>
    <n v="2.7147058823529411E-3"/>
    <s v="Adverse"/>
    <x v="3"/>
  </r>
  <r>
    <s v="2025-12"/>
    <x v="0"/>
    <x v="3"/>
    <x v="1"/>
    <n v="12000"/>
    <n v="10510.48"/>
    <n v="-1489.5200000000004"/>
    <n v="-0.1241266666666667"/>
    <s v="Favourable"/>
    <x v="3"/>
  </r>
  <r>
    <s v="2025-12"/>
    <x v="1"/>
    <x v="4"/>
    <x v="1"/>
    <n v="45000"/>
    <n v="59598.12"/>
    <n v="14598.120000000003"/>
    <n v="0.32440266666666673"/>
    <s v="Adverse"/>
    <x v="3"/>
  </r>
  <r>
    <s v="2025-12"/>
    <x v="1"/>
    <x v="5"/>
    <x v="1"/>
    <n v="10000"/>
    <n v="9913.7800000000007"/>
    <n v="-86.219999999999345"/>
    <n v="-8.6219999999999353E-3"/>
    <s v="Favourable"/>
    <x v="3"/>
  </r>
  <r>
    <s v="2025-12"/>
    <x v="1"/>
    <x v="2"/>
    <x v="1"/>
    <n v="30000"/>
    <n v="28682.9"/>
    <n v="-1317.0999999999985"/>
    <n v="-4.3903333333333287E-2"/>
    <s v="Favourable"/>
    <x v="3"/>
  </r>
  <r>
    <s v="2025-12"/>
    <x v="2"/>
    <x v="6"/>
    <x v="1"/>
    <n v="40000"/>
    <n v="39291.15"/>
    <n v="-708.84999999999854"/>
    <n v="-1.7721249999999963E-2"/>
    <s v="Favourable"/>
    <x v="3"/>
  </r>
  <r>
    <s v="2025-12"/>
    <x v="2"/>
    <x v="7"/>
    <x v="1"/>
    <n v="55000"/>
    <n v="67989.66"/>
    <n v="12989.660000000003"/>
    <n v="0.23617563636363642"/>
    <s v="Adverse"/>
    <x v="3"/>
  </r>
  <r>
    <s v="2025-12"/>
    <x v="2"/>
    <x v="2"/>
    <x v="1"/>
    <n v="70000"/>
    <n v="68468.92"/>
    <n v="-1531.0800000000017"/>
    <n v="-2.1872571428571453E-2"/>
    <s v="Favourable"/>
    <x v="3"/>
  </r>
  <r>
    <s v="2025-12"/>
    <x v="3"/>
    <x v="8"/>
    <x v="1"/>
    <n v="18000"/>
    <n v="21726.98"/>
    <n v="3726.9799999999996"/>
    <n v="0.20705444444444443"/>
    <s v="Adverse"/>
    <x v="3"/>
  </r>
  <r>
    <s v="2025-12"/>
    <x v="3"/>
    <x v="9"/>
    <x v="1"/>
    <n v="8000"/>
    <n v="7960.96"/>
    <n v="-39.039999999999964"/>
    <n v="-4.8799999999999955E-3"/>
    <s v="Favourable"/>
    <x v="3"/>
  </r>
  <r>
    <s v="2025-12"/>
    <x v="3"/>
    <x v="2"/>
    <x v="1"/>
    <n v="35000"/>
    <n v="33884.46"/>
    <n v="-1115.5400000000009"/>
    <n v="-3.1872571428571451E-2"/>
    <s v="Favourable"/>
    <x v="3"/>
  </r>
  <r>
    <s v="2025-12"/>
    <x v="4"/>
    <x v="10"/>
    <x v="1"/>
    <n v="6000"/>
    <n v="5904.7"/>
    <n v="-95.300000000000182"/>
    <n v="-1.5883333333333364E-2"/>
    <s v="Favourable"/>
    <x v="3"/>
  </r>
  <r>
    <s v="2025-12"/>
    <x v="4"/>
    <x v="11"/>
    <x v="1"/>
    <n v="5000"/>
    <n v="4868.47"/>
    <n v="-131.52999999999975"/>
    <n v="-2.6305999999999947E-2"/>
    <s v="Favourable"/>
    <x v="3"/>
  </r>
  <r>
    <s v="2025-12"/>
    <x v="4"/>
    <x v="2"/>
    <x v="1"/>
    <n v="20000"/>
    <n v="19943.439999999999"/>
    <n v="-56.56000000000131"/>
    <n v="-2.8280000000000653E-3"/>
    <s v="Favourable"/>
    <x v="3"/>
  </r>
  <r>
    <s v="2025-12"/>
    <x v="5"/>
    <x v="12"/>
    <x v="1"/>
    <n v="7000"/>
    <n v="6630.88"/>
    <n v="-369.11999999999989"/>
    <n v="-5.2731428571428554E-2"/>
    <s v="Favourable"/>
    <x v="3"/>
  </r>
  <r>
    <s v="2025-12"/>
    <x v="5"/>
    <x v="2"/>
    <x v="1"/>
    <n v="25000"/>
    <n v="23899.72"/>
    <n v="-1100.2799999999988"/>
    <n v="-4.4011199999999952E-2"/>
    <s v="Favourabl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E7A1F-9678-48F3-9E0C-6CAE92611D9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D30" firstHeaderRow="0" firstDataRow="1" firstDataCol="1"/>
  <pivotFields count="10">
    <pivotField showAll="0"/>
    <pivotField axis="axisRow" showAll="0">
      <items count="7">
        <item x="5"/>
        <item x="4"/>
        <item x="3"/>
        <item x="1"/>
        <item x="2"/>
        <item x="0"/>
        <item t="default"/>
      </items>
    </pivotField>
    <pivotField axis="axisRow" showAll="0">
      <items count="14">
        <item x="4"/>
        <item x="12"/>
        <item x="5"/>
        <item x="9"/>
        <item x="7"/>
        <item x="0"/>
        <item x="10"/>
        <item x="2"/>
        <item x="1"/>
        <item x="8"/>
        <item x="11"/>
        <item x="3"/>
        <item x="6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5" showAll="0"/>
    <pivotField dataField="1" numFmtId="43" showAll="0"/>
    <pivotField dataField="1" numFmtId="43" showAll="0"/>
    <pivotField numFmtId="164" showAll="0"/>
    <pivotField showAll="0"/>
    <pivotField showAll="0"/>
  </pivotFields>
  <rowFields count="3">
    <field x="3"/>
    <field x="1"/>
    <field x="2"/>
  </rowFields>
  <rowItems count="27">
    <i>
      <x/>
    </i>
    <i r="1">
      <x/>
    </i>
    <i r="2">
      <x v="1"/>
    </i>
    <i r="2">
      <x v="7"/>
    </i>
    <i r="1">
      <x v="1"/>
    </i>
    <i r="2">
      <x v="6"/>
    </i>
    <i r="2">
      <x v="7"/>
    </i>
    <i r="2">
      <x v="10"/>
    </i>
    <i r="1">
      <x v="2"/>
    </i>
    <i r="2">
      <x v="3"/>
    </i>
    <i r="2">
      <x v="7"/>
    </i>
    <i r="2">
      <x v="9"/>
    </i>
    <i r="1">
      <x v="3"/>
    </i>
    <i r="2">
      <x/>
    </i>
    <i r="2">
      <x v="2"/>
    </i>
    <i r="2">
      <x v="7"/>
    </i>
    <i r="1">
      <x v="4"/>
    </i>
    <i r="2">
      <x v="4"/>
    </i>
    <i r="2">
      <x v="7"/>
    </i>
    <i r="2">
      <x v="12"/>
    </i>
    <i r="1">
      <x v="5"/>
    </i>
    <i r="2">
      <x v="7"/>
    </i>
    <i r="2">
      <x v="11"/>
    </i>
    <i>
      <x v="1"/>
    </i>
    <i r="1">
      <x v="5"/>
    </i>
    <i r="2">
      <x v="5"/>
    </i>
    <i r="2"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" fld="4" baseField="0" baseItem="0" numFmtId="166"/>
    <dataField name="Sum of Actual" fld="5" baseField="0" baseItem="0" numFmtId="43"/>
    <dataField name="Sum of Variance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C1DC4-B0A0-4D05-8FDB-1568BFDB219B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H3:M17" firstHeaderRow="1" firstDataRow="2" firstDataCol="1"/>
  <pivotFields count="10">
    <pivotField showAll="0"/>
    <pivotField showAll="0"/>
    <pivotField axis="axisRow" showAll="0">
      <items count="14">
        <item x="4"/>
        <item x="12"/>
        <item x="5"/>
        <item x="9"/>
        <item x="7"/>
        <item x="0"/>
        <item x="10"/>
        <item x="2"/>
        <item x="1"/>
        <item x="8"/>
        <item x="11"/>
        <item x="3"/>
        <item x="6"/>
        <item t="default"/>
      </items>
    </pivotField>
    <pivotField showAll="0"/>
    <pivotField numFmtId="165" showAll="0"/>
    <pivotField numFmtId="43" showAll="0"/>
    <pivotField dataField="1" numFmtId="43" showAll="0"/>
    <pivotField numFmtId="164" showAll="0"/>
    <pivotField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Variance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7BDE4D-7885-49FC-94B1-1747CC465821}" autoFormatId="16" applyNumberFormats="0" applyBorderFormats="0" applyFontFormats="0" applyPatternFormats="0" applyAlignmentFormats="0" applyWidthHeightFormats="0">
  <queryTableRefresh nextId="9">
    <queryTableFields count="4">
      <queryTableField id="5" name="Department" tableColumnId="5"/>
      <queryTableField id="6" name="Budget Owner" tableColumnId="6"/>
      <queryTableField id="7" name="Cost Centre" tableColumnId="7"/>
      <queryTableField id="8" name="Email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B1D43-3AC4-40F4-B5C3-30A8E12823C1}" name="tblData" displayName="tblData" ref="A1:K217" totalsRowShown="0">
  <autoFilter ref="A1:K217" xr:uid="{C31B1D43-3AC4-40F4-B5C3-30A8E12823C1}"/>
  <tableColumns count="11">
    <tableColumn id="1" xr3:uid="{2CD6F1BE-319E-45E4-8706-F0A6A0B960B8}" name="Month"/>
    <tableColumn id="2" xr3:uid="{65A2B070-FA08-4686-A31E-B232608DFF5C}" name="Department"/>
    <tableColumn id="3" xr3:uid="{62249E6F-E1C5-4383-9161-975C3E7D4500}" name="Category"/>
    <tableColumn id="4" xr3:uid="{8842C86E-41AA-4107-B96F-318554753112}" name="Type"/>
    <tableColumn id="5" xr3:uid="{52E22116-64FD-401A-A203-A35E5CF223BF}" name="Budget" dataDxfId="12" dataCellStyle="Comma"/>
    <tableColumn id="6" xr3:uid="{985DF1C4-0C0B-41FD-993D-636EF5BC7A3B}" name="Actual" dataCellStyle="Comma"/>
    <tableColumn id="7" xr3:uid="{26DF308E-3FD6-4F2A-BDCE-1D5ADB27C5DB}" name="Variance" dataCellStyle="Comma">
      <calculatedColumnFormula>tblData[[#This Row],[Actual]]-tblData[[#This Row],[Budget]]</calculatedColumnFormula>
    </tableColumn>
    <tableColumn id="8" xr3:uid="{EFC4CD7D-CC79-4A10-ACA0-82FDDD10BD11}" name="Variance %" dataDxfId="11">
      <calculatedColumnFormula>IF(tblData[[#This Row],[Budget]]=0,0,tblData[[#This Row],[Variance]]/tblData[[#This Row],[Budget]])</calculatedColumnFormula>
    </tableColumn>
    <tableColumn id="9" xr3:uid="{69960516-5B59-4A1D-A33C-21D27A929C65}" name="Status" dataDxfId="10">
      <calculatedColumnFormula>IF(tblData[[#This Row],[Type]]="Revenue",IF(tblData[[#This Row],[Variance]]&gt;=0,"Favourable","Adverse"),IF(tblData[[#This Row],[Variance]]&lt;=0,"Favourable","Adverse"))</calculatedColumnFormula>
    </tableColumn>
    <tableColumn id="10" xr3:uid="{BFE85946-DC68-4C32-BE0A-641ADE60B9BA}" name="Quarter" dataDxfId="9">
      <calculatedColumnFormula>"Q"&amp;ROUNDUP(VALUE(RIGHT(tblData[[#This Row],[Month]],2))/3,0)</calculatedColumnFormula>
    </tableColumn>
    <tableColumn id="11" xr3:uid="{1F1B5C68-05FC-4B40-ACA8-9A305F239F09}" name="Budget Owner" dataDxfId="0">
      <calculatedColumnFormula>_xlfn.XLOOKUP(tblData[[#This Row],[Department]], tblOwners[Department], tblOwners[Budget Owner], "Not found")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AE1DB-556E-4D70-A7A7-2995FBAC1FF9}" name="tblOwners" displayName="tblOwners" ref="A1:D7" tableType="queryTable" totalsRowShown="0">
  <autoFilter ref="A1:D7" xr:uid="{5E0AE1DB-556E-4D70-A7A7-2995FBAC1FF9}"/>
  <tableColumns count="4">
    <tableColumn id="5" xr3:uid="{D4B0EAD5-5B90-4132-9755-A7EA0FFDDCF8}" uniqueName="5" name="Department" queryTableFieldId="5" dataDxfId="4"/>
    <tableColumn id="6" xr3:uid="{048B666B-C051-46B2-9E56-4EEF97AE02FD}" uniqueName="6" name="Budget Owner" queryTableFieldId="6" dataDxfId="3"/>
    <tableColumn id="7" xr3:uid="{2020FEC2-6F31-43B7-AAD6-4D49D131809B}" uniqueName="7" name="Cost Centre" queryTableFieldId="7" dataDxfId="2"/>
    <tableColumn id="8" xr3:uid="{02CFA327-F2CA-4E20-A552-90D825A841E0}" uniqueName="8" name="Email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051A-7C65-42E5-A347-F4544E605582}">
  <dimension ref="A3:M30"/>
  <sheetViews>
    <sheetView topLeftCell="A6" workbookViewId="0">
      <selection activeCell="D22" sqref="D22"/>
    </sheetView>
  </sheetViews>
  <sheetFormatPr defaultRowHeight="14.4" x14ac:dyDescent="0.3"/>
  <cols>
    <col min="1" max="1" width="20.44140625" bestFit="1" customWidth="1"/>
    <col min="2" max="2" width="12.77734375" bestFit="1" customWidth="1"/>
    <col min="3" max="3" width="12.33203125" bestFit="1" customWidth="1"/>
    <col min="4" max="4" width="14.44140625" bestFit="1" customWidth="1"/>
    <col min="8" max="8" width="15.77734375" bestFit="1" customWidth="1"/>
    <col min="9" max="9" width="15.5546875" bestFit="1" customWidth="1"/>
    <col min="10" max="10" width="12" bestFit="1" customWidth="1"/>
    <col min="11" max="12" width="9.77734375" bestFit="1" customWidth="1"/>
    <col min="13" max="13" width="12" bestFit="1" customWidth="1"/>
  </cols>
  <sheetData>
    <row r="3" spans="1:13" x14ac:dyDescent="0.3">
      <c r="A3" s="5" t="s">
        <v>47</v>
      </c>
      <c r="B3" t="s">
        <v>49</v>
      </c>
      <c r="C3" t="s">
        <v>50</v>
      </c>
      <c r="D3" t="s">
        <v>51</v>
      </c>
      <c r="H3" s="5" t="s">
        <v>51</v>
      </c>
      <c r="I3" s="5" t="s">
        <v>52</v>
      </c>
    </row>
    <row r="4" spans="1:13" x14ac:dyDescent="0.3">
      <c r="A4" s="6" t="s">
        <v>12</v>
      </c>
      <c r="B4" s="9">
        <v>5652000</v>
      </c>
      <c r="C4" s="8">
        <v>5713733.2000000002</v>
      </c>
      <c r="D4" s="8">
        <v>61733.200000000026</v>
      </c>
      <c r="H4" s="5" t="s">
        <v>47</v>
      </c>
      <c r="I4" t="s">
        <v>53</v>
      </c>
      <c r="J4" t="s">
        <v>54</v>
      </c>
      <c r="K4" t="s">
        <v>55</v>
      </c>
      <c r="L4" t="s">
        <v>56</v>
      </c>
      <c r="M4" t="s">
        <v>48</v>
      </c>
    </row>
    <row r="5" spans="1:13" x14ac:dyDescent="0.3">
      <c r="A5" s="7" t="s">
        <v>26</v>
      </c>
      <c r="B5" s="9">
        <v>384000</v>
      </c>
      <c r="C5" s="8">
        <v>383880.82999999996</v>
      </c>
      <c r="D5" s="8">
        <v>-119.17000000000007</v>
      </c>
      <c r="H5" s="6" t="s">
        <v>15</v>
      </c>
      <c r="I5" s="8">
        <v>-2022.760000000002</v>
      </c>
      <c r="J5" s="8">
        <v>-1914.5999999999913</v>
      </c>
      <c r="K5" s="8">
        <v>1087.4400000000023</v>
      </c>
      <c r="L5" s="8">
        <v>47033.03</v>
      </c>
      <c r="M5" s="8">
        <v>44183.110000000008</v>
      </c>
    </row>
    <row r="6" spans="1:13" x14ac:dyDescent="0.3">
      <c r="A6" s="10" t="s">
        <v>27</v>
      </c>
      <c r="B6" s="9">
        <v>84000</v>
      </c>
      <c r="C6" s="8">
        <v>83107.880000000019</v>
      </c>
      <c r="D6" s="8">
        <v>-892.1200000000008</v>
      </c>
      <c r="H6" s="6" t="s">
        <v>27</v>
      </c>
      <c r="I6" s="8">
        <v>-283.07999999999993</v>
      </c>
      <c r="J6" s="8">
        <v>-318.63000000000102</v>
      </c>
      <c r="K6" s="8">
        <v>126.80000000000018</v>
      </c>
      <c r="L6" s="8">
        <v>-417.21000000000004</v>
      </c>
      <c r="M6" s="8">
        <v>-892.1200000000008</v>
      </c>
    </row>
    <row r="7" spans="1:13" x14ac:dyDescent="0.3">
      <c r="A7" s="10" t="s">
        <v>11</v>
      </c>
      <c r="B7" s="9">
        <v>300000</v>
      </c>
      <c r="C7" s="8">
        <v>300772.94999999995</v>
      </c>
      <c r="D7" s="8">
        <v>772.95000000000073</v>
      </c>
      <c r="H7" s="6" t="s">
        <v>16</v>
      </c>
      <c r="I7" s="8">
        <v>-32.279999999998836</v>
      </c>
      <c r="J7" s="8">
        <v>322.46000000000095</v>
      </c>
      <c r="K7" s="8">
        <v>258.20000000000073</v>
      </c>
      <c r="L7" s="8">
        <v>-396.88999999999942</v>
      </c>
      <c r="M7" s="8">
        <v>151.49000000000342</v>
      </c>
    </row>
    <row r="8" spans="1:13" x14ac:dyDescent="0.3">
      <c r="A8" s="7" t="s">
        <v>23</v>
      </c>
      <c r="B8" s="9">
        <v>372000</v>
      </c>
      <c r="C8" s="8">
        <v>378172.69</v>
      </c>
      <c r="D8" s="8">
        <v>6172.6899999999987</v>
      </c>
      <c r="H8" s="6" t="s">
        <v>22</v>
      </c>
      <c r="I8" s="8">
        <v>-12.299999999999272</v>
      </c>
      <c r="J8" s="8">
        <v>-238.56999999999971</v>
      </c>
      <c r="K8" s="8">
        <v>-471.89999999999964</v>
      </c>
      <c r="L8" s="8">
        <v>552.36999999999989</v>
      </c>
      <c r="M8" s="8">
        <v>-170.39999999999873</v>
      </c>
    </row>
    <row r="9" spans="1:13" x14ac:dyDescent="0.3">
      <c r="A9" s="10" t="s">
        <v>24</v>
      </c>
      <c r="B9" s="9">
        <v>72000</v>
      </c>
      <c r="C9" s="8">
        <v>78330.080000000002</v>
      </c>
      <c r="D9" s="8">
        <v>6330.08</v>
      </c>
      <c r="H9" s="6" t="s">
        <v>19</v>
      </c>
      <c r="I9" s="8">
        <v>-357.57999999999447</v>
      </c>
      <c r="J9" s="8">
        <v>3595.4000000000087</v>
      </c>
      <c r="K9" s="8">
        <v>-1558.5900000000038</v>
      </c>
      <c r="L9" s="8">
        <v>24525.14</v>
      </c>
      <c r="M9" s="8">
        <v>26204.37000000001</v>
      </c>
    </row>
    <row r="10" spans="1:13" x14ac:dyDescent="0.3">
      <c r="A10" s="10" t="s">
        <v>11</v>
      </c>
      <c r="B10" s="9">
        <v>240000</v>
      </c>
      <c r="C10" s="8">
        <v>240431.59</v>
      </c>
      <c r="D10" s="8">
        <v>431.59000000000015</v>
      </c>
      <c r="H10" s="6" t="s">
        <v>8</v>
      </c>
      <c r="I10" s="8">
        <v>-7140.2299999999814</v>
      </c>
      <c r="J10" s="8">
        <v>-151157.67000000004</v>
      </c>
      <c r="K10" s="8">
        <v>36783.039999999979</v>
      </c>
      <c r="L10" s="8">
        <v>11957.950000000012</v>
      </c>
      <c r="M10" s="8">
        <v>-109556.91000000003</v>
      </c>
    </row>
    <row r="11" spans="1:13" x14ac:dyDescent="0.3">
      <c r="A11" s="10" t="s">
        <v>25</v>
      </c>
      <c r="B11" s="9">
        <v>60000</v>
      </c>
      <c r="C11" s="8">
        <v>59411.02</v>
      </c>
      <c r="D11" s="8">
        <v>-588.98000000000138</v>
      </c>
      <c r="H11" s="6" t="s">
        <v>24</v>
      </c>
      <c r="I11" s="8">
        <v>3441.7700000000004</v>
      </c>
      <c r="J11" s="8">
        <v>-185.15000000000055</v>
      </c>
      <c r="K11" s="8">
        <v>3089.0800000000008</v>
      </c>
      <c r="L11" s="8">
        <v>-15.6200000000008</v>
      </c>
      <c r="M11" s="8">
        <v>6330.08</v>
      </c>
    </row>
    <row r="12" spans="1:13" x14ac:dyDescent="0.3">
      <c r="A12" s="7" t="s">
        <v>20</v>
      </c>
      <c r="B12" s="9">
        <v>732000</v>
      </c>
      <c r="C12" s="8">
        <v>754878.2300000001</v>
      </c>
      <c r="D12" s="8">
        <v>22878.23</v>
      </c>
      <c r="H12" s="6" t="s">
        <v>11</v>
      </c>
      <c r="I12" s="8">
        <v>9614.8700000000099</v>
      </c>
      <c r="J12" s="8">
        <v>-7329.6300000000047</v>
      </c>
      <c r="K12" s="8">
        <v>-3207.0799999999945</v>
      </c>
      <c r="L12" s="8">
        <v>-3500.1400000000103</v>
      </c>
      <c r="M12" s="8">
        <v>-4421.9799999999996</v>
      </c>
    </row>
    <row r="13" spans="1:13" x14ac:dyDescent="0.3">
      <c r="A13" s="10" t="s">
        <v>22</v>
      </c>
      <c r="B13" s="9">
        <v>96000</v>
      </c>
      <c r="C13" s="8">
        <v>95829.6</v>
      </c>
      <c r="D13" s="8">
        <v>-170.39999999999873</v>
      </c>
      <c r="H13" s="6" t="s">
        <v>10</v>
      </c>
      <c r="I13" s="8">
        <v>-761.50999999999476</v>
      </c>
      <c r="J13" s="8">
        <v>-2736.2000000000044</v>
      </c>
      <c r="K13" s="8">
        <v>2440.4999999999927</v>
      </c>
      <c r="L13" s="8">
        <v>3088.570000000007</v>
      </c>
      <c r="M13" s="8">
        <v>2031.3600000000006</v>
      </c>
    </row>
    <row r="14" spans="1:13" x14ac:dyDescent="0.3">
      <c r="A14" s="10" t="s">
        <v>11</v>
      </c>
      <c r="B14" s="9">
        <v>420000</v>
      </c>
      <c r="C14" s="8">
        <v>415992.7</v>
      </c>
      <c r="D14" s="8">
        <v>-4007.3000000000029</v>
      </c>
      <c r="H14" s="6" t="s">
        <v>21</v>
      </c>
      <c r="I14" s="8">
        <v>1612.9900000000016</v>
      </c>
      <c r="J14" s="8">
        <v>-94.969999999997526</v>
      </c>
      <c r="K14" s="8">
        <v>13066.839999999997</v>
      </c>
      <c r="L14" s="8">
        <v>12471.07</v>
      </c>
      <c r="M14" s="8">
        <v>27055.93</v>
      </c>
    </row>
    <row r="15" spans="1:13" x14ac:dyDescent="0.3">
      <c r="A15" s="10" t="s">
        <v>21</v>
      </c>
      <c r="B15" s="9">
        <v>216000</v>
      </c>
      <c r="C15" s="8">
        <v>243055.93000000002</v>
      </c>
      <c r="D15" s="8">
        <v>27055.93</v>
      </c>
      <c r="H15" s="6" t="s">
        <v>25</v>
      </c>
      <c r="I15" s="8">
        <v>-107.05000000000109</v>
      </c>
      <c r="J15" s="8">
        <v>-220.92000000000098</v>
      </c>
      <c r="K15" s="8">
        <v>-202.79999999999927</v>
      </c>
      <c r="L15" s="8">
        <v>-58.210000000000036</v>
      </c>
      <c r="M15" s="8">
        <v>-588.98000000000138</v>
      </c>
    </row>
    <row r="16" spans="1:13" x14ac:dyDescent="0.3">
      <c r="A16" s="7" t="s">
        <v>14</v>
      </c>
      <c r="B16" s="9">
        <v>1020000</v>
      </c>
      <c r="C16" s="8">
        <v>1059059.82</v>
      </c>
      <c r="D16" s="8">
        <v>39059.820000000022</v>
      </c>
      <c r="H16" s="6" t="s">
        <v>13</v>
      </c>
      <c r="I16" s="8">
        <v>-10662.649999999998</v>
      </c>
      <c r="J16" s="8">
        <v>-8434.8000000000011</v>
      </c>
      <c r="K16" s="8">
        <v>-8870.15</v>
      </c>
      <c r="L16" s="8">
        <v>-8055.85</v>
      </c>
      <c r="M16" s="8">
        <v>-36023.449999999997</v>
      </c>
    </row>
    <row r="17" spans="1:13" x14ac:dyDescent="0.3">
      <c r="A17" s="10" t="s">
        <v>15</v>
      </c>
      <c r="B17" s="9">
        <v>540000</v>
      </c>
      <c r="C17" s="8">
        <v>584183.1100000001</v>
      </c>
      <c r="D17" s="8">
        <v>44183.110000000008</v>
      </c>
      <c r="H17" s="6" t="s">
        <v>18</v>
      </c>
      <c r="I17" s="8">
        <v>1464.0799999999945</v>
      </c>
      <c r="J17" s="8">
        <v>-946.66999999999825</v>
      </c>
      <c r="K17" s="8">
        <v>2139.3300000000017</v>
      </c>
      <c r="L17" s="8">
        <v>-2751.5899999999965</v>
      </c>
      <c r="M17" s="8">
        <v>-94.849999999998545</v>
      </c>
    </row>
    <row r="18" spans="1:13" x14ac:dyDescent="0.3">
      <c r="A18" s="10" t="s">
        <v>16</v>
      </c>
      <c r="B18" s="9">
        <v>120000</v>
      </c>
      <c r="C18" s="8">
        <v>120151.49</v>
      </c>
      <c r="D18" s="8">
        <v>151.49000000000342</v>
      </c>
    </row>
    <row r="19" spans="1:13" x14ac:dyDescent="0.3">
      <c r="A19" s="10" t="s">
        <v>11</v>
      </c>
      <c r="B19" s="9">
        <v>360000</v>
      </c>
      <c r="C19" s="8">
        <v>354725.22</v>
      </c>
      <c r="D19" s="8">
        <v>-5274.7799999999952</v>
      </c>
    </row>
    <row r="20" spans="1:13" x14ac:dyDescent="0.3">
      <c r="A20" s="7" t="s">
        <v>17</v>
      </c>
      <c r="B20" s="9">
        <v>1980000</v>
      </c>
      <c r="C20" s="8">
        <v>2009914.4</v>
      </c>
      <c r="D20" s="8">
        <v>29914.400000000016</v>
      </c>
    </row>
    <row r="21" spans="1:13" x14ac:dyDescent="0.3">
      <c r="A21" s="10" t="s">
        <v>19</v>
      </c>
      <c r="B21" s="9">
        <v>660000</v>
      </c>
      <c r="C21" s="8">
        <v>686204.37</v>
      </c>
      <c r="D21" s="8">
        <v>26204.37000000001</v>
      </c>
    </row>
    <row r="22" spans="1:13" x14ac:dyDescent="0.3">
      <c r="A22" s="10" t="s">
        <v>11</v>
      </c>
      <c r="B22" s="9">
        <v>840000</v>
      </c>
      <c r="C22" s="8">
        <v>843804.88000000012</v>
      </c>
      <c r="D22" s="8">
        <v>3804.8800000000047</v>
      </c>
    </row>
    <row r="23" spans="1:13" x14ac:dyDescent="0.3">
      <c r="A23" s="10" t="s">
        <v>18</v>
      </c>
      <c r="B23" s="9">
        <v>480000</v>
      </c>
      <c r="C23" s="8">
        <v>479905.15</v>
      </c>
      <c r="D23" s="8">
        <v>-94.849999999998545</v>
      </c>
    </row>
    <row r="24" spans="1:13" x14ac:dyDescent="0.3">
      <c r="A24" s="7" t="s">
        <v>7</v>
      </c>
      <c r="B24" s="9">
        <v>1164000</v>
      </c>
      <c r="C24" s="8">
        <v>1127827.23</v>
      </c>
      <c r="D24" s="8">
        <v>-36172.770000000004</v>
      </c>
    </row>
    <row r="25" spans="1:13" x14ac:dyDescent="0.3">
      <c r="A25" s="10" t="s">
        <v>11</v>
      </c>
      <c r="B25" s="9">
        <v>1020000</v>
      </c>
      <c r="C25" s="8">
        <v>1019850.6799999999</v>
      </c>
      <c r="D25" s="8">
        <v>-149.32000000000698</v>
      </c>
    </row>
    <row r="26" spans="1:13" x14ac:dyDescent="0.3">
      <c r="A26" s="10" t="s">
        <v>13</v>
      </c>
      <c r="B26" s="9">
        <v>144000</v>
      </c>
      <c r="C26" s="8">
        <v>107976.55</v>
      </c>
      <c r="D26" s="8">
        <v>-36023.449999999997</v>
      </c>
    </row>
    <row r="27" spans="1:13" x14ac:dyDescent="0.3">
      <c r="A27" s="6" t="s">
        <v>9</v>
      </c>
      <c r="B27" s="9">
        <v>5808000</v>
      </c>
      <c r="C27" s="8">
        <v>5700474.4500000002</v>
      </c>
      <c r="D27" s="8">
        <v>-107525.55000000003</v>
      </c>
    </row>
    <row r="28" spans="1:13" x14ac:dyDescent="0.3">
      <c r="A28" s="7" t="s">
        <v>7</v>
      </c>
      <c r="B28" s="9">
        <v>5808000</v>
      </c>
      <c r="C28" s="8">
        <v>5700474.4500000002</v>
      </c>
      <c r="D28" s="8">
        <v>-107525.55000000003</v>
      </c>
    </row>
    <row r="29" spans="1:13" x14ac:dyDescent="0.3">
      <c r="A29" s="10" t="s">
        <v>8</v>
      </c>
      <c r="B29" s="9">
        <v>5082000</v>
      </c>
      <c r="C29" s="8">
        <v>4972443.09</v>
      </c>
      <c r="D29" s="8">
        <v>-109556.91000000003</v>
      </c>
    </row>
    <row r="30" spans="1:13" x14ac:dyDescent="0.3">
      <c r="A30" s="10" t="s">
        <v>10</v>
      </c>
      <c r="B30" s="9">
        <v>726000</v>
      </c>
      <c r="C30" s="8">
        <v>728031.3600000001</v>
      </c>
      <c r="D30" s="8">
        <v>2031.3600000000006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08DA-16FD-4A60-807B-0707201D9908}">
  <dimension ref="A1:K217"/>
  <sheetViews>
    <sheetView topLeftCell="D1" workbookViewId="0">
      <selection activeCell="L1" sqref="L1"/>
    </sheetView>
  </sheetViews>
  <sheetFormatPr defaultRowHeight="14.4" x14ac:dyDescent="0.3"/>
  <cols>
    <col min="1" max="1" width="10" customWidth="1"/>
    <col min="2" max="2" width="15.33203125" customWidth="1"/>
    <col min="3" max="3" width="17.77734375" customWidth="1"/>
    <col min="4" max="4" width="11.5546875" customWidth="1"/>
    <col min="5" max="5" width="11.21875" style="4" customWidth="1"/>
    <col min="6" max="6" width="14.77734375" style="3" customWidth="1"/>
    <col min="7" max="7" width="13.6640625" style="3" customWidth="1"/>
    <col min="8" max="8" width="16.109375" style="1" customWidth="1"/>
    <col min="9" max="9" width="17" customWidth="1"/>
    <col min="10" max="10" width="17.21875" customWidth="1"/>
    <col min="11" max="11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3" t="s">
        <v>5</v>
      </c>
      <c r="G1" s="3" t="s">
        <v>39</v>
      </c>
      <c r="H1" s="2" t="s">
        <v>40</v>
      </c>
      <c r="I1" t="s">
        <v>41</v>
      </c>
      <c r="J1" t="s">
        <v>42</v>
      </c>
      <c r="K1" t="s">
        <v>59</v>
      </c>
    </row>
    <row r="2" spans="1:11" x14ac:dyDescent="0.3">
      <c r="A2" t="s">
        <v>6</v>
      </c>
      <c r="B2" t="s">
        <v>7</v>
      </c>
      <c r="C2" t="s">
        <v>8</v>
      </c>
      <c r="D2" t="s">
        <v>9</v>
      </c>
      <c r="E2" s="4">
        <v>357000</v>
      </c>
      <c r="F2" s="3">
        <v>360263.52</v>
      </c>
      <c r="G2" s="3">
        <f>tblData[[#This Row],[Actual]]-tblData[[#This Row],[Budget]]</f>
        <v>3263.5200000000186</v>
      </c>
      <c r="H2" s="1">
        <f>IF(tblData[[#This Row],[Budget]]=0,0,tblData[[#This Row],[Variance]]/tblData[[#This Row],[Budget]])</f>
        <v>9.1415126050420695E-3</v>
      </c>
      <c r="I2" t="str">
        <f>IF(tblData[[#This Row],[Type]]="Revenue",IF(tblData[[#This Row],[Variance]]&gt;=0,"Favourable","Adverse"),IF(tblData[[#This Row],[Variance]]&lt;=0,"Favourable","Adverse"))</f>
        <v>Favourable</v>
      </c>
      <c r="J2" t="str">
        <f>"Q"&amp;ROUNDUP(VALUE(RIGHT(tblData[[#This Row],[Month]],2))/3,0)</f>
        <v>Q1</v>
      </c>
      <c r="K2" t="str">
        <f>_xlfn.XLOOKUP(tblData[[#This Row],[Department]], tblOwners[Department], tblOwners[Budget Owner], "Not found")</f>
        <v>Aoife Byrne</v>
      </c>
    </row>
    <row r="3" spans="1:11" x14ac:dyDescent="0.3">
      <c r="A3" t="s">
        <v>6</v>
      </c>
      <c r="B3" t="s">
        <v>7</v>
      </c>
      <c r="C3" t="s">
        <v>10</v>
      </c>
      <c r="D3" t="s">
        <v>9</v>
      </c>
      <c r="E3" s="4">
        <v>51000</v>
      </c>
      <c r="F3" s="3">
        <v>49408.82</v>
      </c>
      <c r="G3" s="3">
        <f>tblData[[#This Row],[Actual]]-tblData[[#This Row],[Budget]]</f>
        <v>-1591.1800000000003</v>
      </c>
      <c r="H3" s="1">
        <f>IF(tblData[[#This Row],[Budget]]=0,0,tblData[[#This Row],[Variance]]/tblData[[#This Row],[Budget]])</f>
        <v>-3.1199607843137262E-2</v>
      </c>
      <c r="I3" t="str">
        <f>IF(tblData[[#This Row],[Type]]="Revenue",IF(tblData[[#This Row],[Variance]]&gt;=0,"Favourable","Adverse"),IF(tblData[[#This Row],[Variance]]&lt;=0,"Favourable","Adverse"))</f>
        <v>Adverse</v>
      </c>
      <c r="J3" t="str">
        <f>"Q"&amp;ROUNDUP(VALUE(RIGHT(tblData[[#This Row],[Month]],2))/3,0)</f>
        <v>Q1</v>
      </c>
      <c r="K3" t="str">
        <f>_xlfn.XLOOKUP(tblData[[#This Row],[Department]], tblOwners[Department], tblOwners[Budget Owner], "Not found")</f>
        <v>Aoife Byrne</v>
      </c>
    </row>
    <row r="4" spans="1:11" x14ac:dyDescent="0.3">
      <c r="A4" t="s">
        <v>6</v>
      </c>
      <c r="B4" t="s">
        <v>7</v>
      </c>
      <c r="C4" t="s">
        <v>11</v>
      </c>
      <c r="D4" t="s">
        <v>12</v>
      </c>
      <c r="E4" s="4">
        <v>85000</v>
      </c>
      <c r="F4" s="3">
        <v>86913.65</v>
      </c>
      <c r="G4" s="3">
        <f>tblData[[#This Row],[Actual]]-tblData[[#This Row],[Budget]]</f>
        <v>1913.6499999999942</v>
      </c>
      <c r="H4" s="1">
        <f>IF(tblData[[#This Row],[Budget]]=0,0,tblData[[#This Row],[Variance]]/tblData[[#This Row],[Budget]])</f>
        <v>2.2513529411764637E-2</v>
      </c>
      <c r="I4" t="str">
        <f>IF(tblData[[#This Row],[Type]]="Revenue",IF(tblData[[#This Row],[Variance]]&gt;=0,"Favourable","Adverse"),IF(tblData[[#This Row],[Variance]]&lt;=0,"Favourable","Adverse"))</f>
        <v>Adverse</v>
      </c>
      <c r="J4" t="str">
        <f>"Q"&amp;ROUNDUP(VALUE(RIGHT(tblData[[#This Row],[Month]],2))/3,0)</f>
        <v>Q1</v>
      </c>
      <c r="K4" t="str">
        <f>_xlfn.XLOOKUP(tblData[[#This Row],[Department]], tblOwners[Department], tblOwners[Budget Owner], "Not found")</f>
        <v>Aoife Byrne</v>
      </c>
    </row>
    <row r="5" spans="1:11" x14ac:dyDescent="0.3">
      <c r="A5" t="s">
        <v>6</v>
      </c>
      <c r="B5" t="s">
        <v>7</v>
      </c>
      <c r="C5" t="s">
        <v>13</v>
      </c>
      <c r="D5" t="s">
        <v>12</v>
      </c>
      <c r="E5" s="4">
        <v>12000</v>
      </c>
      <c r="F5" s="3">
        <v>7829.38</v>
      </c>
      <c r="G5" s="3">
        <f>tblData[[#This Row],[Actual]]-tblData[[#This Row],[Budget]]</f>
        <v>-4170.62</v>
      </c>
      <c r="H5" s="1">
        <f>IF(tblData[[#This Row],[Budget]]=0,0,tblData[[#This Row],[Variance]]/tblData[[#This Row],[Budget]])</f>
        <v>-0.34755166666666665</v>
      </c>
      <c r="I5" t="str">
        <f>IF(tblData[[#This Row],[Type]]="Revenue",IF(tblData[[#This Row],[Variance]]&gt;=0,"Favourable","Adverse"),IF(tblData[[#This Row],[Variance]]&lt;=0,"Favourable","Adverse"))</f>
        <v>Favourable</v>
      </c>
      <c r="J5" t="str">
        <f>"Q"&amp;ROUNDUP(VALUE(RIGHT(tblData[[#This Row],[Month]],2))/3,0)</f>
        <v>Q1</v>
      </c>
      <c r="K5" t="str">
        <f>_xlfn.XLOOKUP(tblData[[#This Row],[Department]], tblOwners[Department], tblOwners[Budget Owner], "Not found")</f>
        <v>Aoife Byrne</v>
      </c>
    </row>
    <row r="6" spans="1:11" x14ac:dyDescent="0.3">
      <c r="A6" t="s">
        <v>6</v>
      </c>
      <c r="B6" t="s">
        <v>14</v>
      </c>
      <c r="C6" t="s">
        <v>15</v>
      </c>
      <c r="D6" t="s">
        <v>12</v>
      </c>
      <c r="E6" s="4">
        <v>45000</v>
      </c>
      <c r="F6" s="3">
        <v>43242.06</v>
      </c>
      <c r="G6" s="3">
        <f>tblData[[#This Row],[Actual]]-tblData[[#This Row],[Budget]]</f>
        <v>-1757.9400000000023</v>
      </c>
      <c r="H6" s="1">
        <f>IF(tblData[[#This Row],[Budget]]=0,0,tblData[[#This Row],[Variance]]/tblData[[#This Row],[Budget]])</f>
        <v>-3.9065333333333382E-2</v>
      </c>
      <c r="I6" t="str">
        <f>IF(tblData[[#This Row],[Type]]="Revenue",IF(tblData[[#This Row],[Variance]]&gt;=0,"Favourable","Adverse"),IF(tblData[[#This Row],[Variance]]&lt;=0,"Favourable","Adverse"))</f>
        <v>Favourable</v>
      </c>
      <c r="J6" t="str">
        <f>"Q"&amp;ROUNDUP(VALUE(RIGHT(tblData[[#This Row],[Month]],2))/3,0)</f>
        <v>Q1</v>
      </c>
      <c r="K6" t="str">
        <f>_xlfn.XLOOKUP(tblData[[#This Row],[Department]], tblOwners[Department], tblOwners[Budget Owner], "Not found")</f>
        <v>Liam O'Connor</v>
      </c>
    </row>
    <row r="7" spans="1:11" x14ac:dyDescent="0.3">
      <c r="A7" t="s">
        <v>6</v>
      </c>
      <c r="B7" t="s">
        <v>14</v>
      </c>
      <c r="C7" t="s">
        <v>16</v>
      </c>
      <c r="D7" t="s">
        <v>12</v>
      </c>
      <c r="E7" s="4">
        <v>10000</v>
      </c>
      <c r="F7" s="3">
        <v>10038.35</v>
      </c>
      <c r="G7" s="3">
        <f>tblData[[#This Row],[Actual]]-tblData[[#This Row],[Budget]]</f>
        <v>38.350000000000364</v>
      </c>
      <c r="H7" s="1">
        <f>IF(tblData[[#This Row],[Budget]]=0,0,tblData[[#This Row],[Variance]]/tblData[[#This Row],[Budget]])</f>
        <v>3.8350000000000363E-3</v>
      </c>
      <c r="I7" t="str">
        <f>IF(tblData[[#This Row],[Type]]="Revenue",IF(tblData[[#This Row],[Variance]]&gt;=0,"Favourable","Adverse"),IF(tblData[[#This Row],[Variance]]&lt;=0,"Favourable","Adverse"))</f>
        <v>Adverse</v>
      </c>
      <c r="J7" t="str">
        <f>"Q"&amp;ROUNDUP(VALUE(RIGHT(tblData[[#This Row],[Month]],2))/3,0)</f>
        <v>Q1</v>
      </c>
      <c r="K7" t="str">
        <f>_xlfn.XLOOKUP(tblData[[#This Row],[Department]], tblOwners[Department], tblOwners[Budget Owner], "Not found")</f>
        <v>Liam O'Connor</v>
      </c>
    </row>
    <row r="8" spans="1:11" x14ac:dyDescent="0.3">
      <c r="A8" t="s">
        <v>6</v>
      </c>
      <c r="B8" t="s">
        <v>14</v>
      </c>
      <c r="C8" t="s">
        <v>11</v>
      </c>
      <c r="D8" t="s">
        <v>12</v>
      </c>
      <c r="E8" s="4">
        <v>30000</v>
      </c>
      <c r="F8" s="3">
        <v>29715.38</v>
      </c>
      <c r="G8" s="3">
        <f>tblData[[#This Row],[Actual]]-tblData[[#This Row],[Budget]]</f>
        <v>-284.61999999999898</v>
      </c>
      <c r="H8" s="1">
        <f>IF(tblData[[#This Row],[Budget]]=0,0,tblData[[#This Row],[Variance]]/tblData[[#This Row],[Budget]])</f>
        <v>-9.487333333333299E-3</v>
      </c>
      <c r="I8" t="str">
        <f>IF(tblData[[#This Row],[Type]]="Revenue",IF(tblData[[#This Row],[Variance]]&gt;=0,"Favourable","Adverse"),IF(tblData[[#This Row],[Variance]]&lt;=0,"Favourable","Adverse"))</f>
        <v>Favourable</v>
      </c>
      <c r="J8" t="str">
        <f>"Q"&amp;ROUNDUP(VALUE(RIGHT(tblData[[#This Row],[Month]],2))/3,0)</f>
        <v>Q1</v>
      </c>
      <c r="K8" t="str">
        <f>_xlfn.XLOOKUP(tblData[[#This Row],[Department]], tblOwners[Department], tblOwners[Budget Owner], "Not found")</f>
        <v>Liam O'Connor</v>
      </c>
    </row>
    <row r="9" spans="1:11" x14ac:dyDescent="0.3">
      <c r="A9" t="s">
        <v>6</v>
      </c>
      <c r="B9" t="s">
        <v>17</v>
      </c>
      <c r="C9" t="s">
        <v>18</v>
      </c>
      <c r="D9" t="s">
        <v>12</v>
      </c>
      <c r="E9" s="4">
        <v>40000</v>
      </c>
      <c r="F9" s="3">
        <v>39979.839999999997</v>
      </c>
      <c r="G9" s="3">
        <f>tblData[[#This Row],[Actual]]-tblData[[#This Row],[Budget]]</f>
        <v>-20.160000000003492</v>
      </c>
      <c r="H9" s="1">
        <f>IF(tblData[[#This Row],[Budget]]=0,0,tblData[[#This Row],[Variance]]/tblData[[#This Row],[Budget]])</f>
        <v>-5.0400000000008728E-4</v>
      </c>
      <c r="I9" t="str">
        <f>IF(tblData[[#This Row],[Type]]="Revenue",IF(tblData[[#This Row],[Variance]]&gt;=0,"Favourable","Adverse"),IF(tblData[[#This Row],[Variance]]&lt;=0,"Favourable","Adverse"))</f>
        <v>Favourable</v>
      </c>
      <c r="J9" t="str">
        <f>"Q"&amp;ROUNDUP(VALUE(RIGHT(tblData[[#This Row],[Month]],2))/3,0)</f>
        <v>Q1</v>
      </c>
      <c r="K9" t="str">
        <f>_xlfn.XLOOKUP(tblData[[#This Row],[Department]], tblOwners[Department], tblOwners[Budget Owner], "Not found")</f>
        <v>Siobhan Kelly</v>
      </c>
    </row>
    <row r="10" spans="1:11" x14ac:dyDescent="0.3">
      <c r="A10" t="s">
        <v>6</v>
      </c>
      <c r="B10" t="s">
        <v>17</v>
      </c>
      <c r="C10" t="s">
        <v>19</v>
      </c>
      <c r="D10" t="s">
        <v>12</v>
      </c>
      <c r="E10" s="4">
        <v>55000</v>
      </c>
      <c r="F10" s="3">
        <v>53592.480000000003</v>
      </c>
      <c r="G10" s="3">
        <f>tblData[[#This Row],[Actual]]-tblData[[#This Row],[Budget]]</f>
        <v>-1407.5199999999968</v>
      </c>
      <c r="H10" s="1">
        <f>IF(tblData[[#This Row],[Budget]]=0,0,tblData[[#This Row],[Variance]]/tblData[[#This Row],[Budget]])</f>
        <v>-2.5591272727272667E-2</v>
      </c>
      <c r="I10" t="str">
        <f>IF(tblData[[#This Row],[Type]]="Revenue",IF(tblData[[#This Row],[Variance]]&gt;=0,"Favourable","Adverse"),IF(tblData[[#This Row],[Variance]]&lt;=0,"Favourable","Adverse"))</f>
        <v>Favourable</v>
      </c>
      <c r="J10" t="str">
        <f>"Q"&amp;ROUNDUP(VALUE(RIGHT(tblData[[#This Row],[Month]],2))/3,0)</f>
        <v>Q1</v>
      </c>
      <c r="K10" t="str">
        <f>_xlfn.XLOOKUP(tblData[[#This Row],[Department]], tblOwners[Department], tblOwners[Budget Owner], "Not found")</f>
        <v>Siobhan Kelly</v>
      </c>
    </row>
    <row r="11" spans="1:11" x14ac:dyDescent="0.3">
      <c r="A11" t="s">
        <v>6</v>
      </c>
      <c r="B11" t="s">
        <v>17</v>
      </c>
      <c r="C11" t="s">
        <v>11</v>
      </c>
      <c r="D11" t="s">
        <v>12</v>
      </c>
      <c r="E11" s="4">
        <v>70000</v>
      </c>
      <c r="F11" s="3">
        <v>71846.740000000005</v>
      </c>
      <c r="G11" s="3">
        <f>tblData[[#This Row],[Actual]]-tblData[[#This Row],[Budget]]</f>
        <v>1846.7400000000052</v>
      </c>
      <c r="H11" s="1">
        <f>IF(tblData[[#This Row],[Budget]]=0,0,tblData[[#This Row],[Variance]]/tblData[[#This Row],[Budget]])</f>
        <v>2.6382000000000076E-2</v>
      </c>
      <c r="I11" t="str">
        <f>IF(tblData[[#This Row],[Type]]="Revenue",IF(tblData[[#This Row],[Variance]]&gt;=0,"Favourable","Adverse"),IF(tblData[[#This Row],[Variance]]&lt;=0,"Favourable","Adverse"))</f>
        <v>Adverse</v>
      </c>
      <c r="J11" t="str">
        <f>"Q"&amp;ROUNDUP(VALUE(RIGHT(tblData[[#This Row],[Month]],2))/3,0)</f>
        <v>Q1</v>
      </c>
      <c r="K11" t="str">
        <f>_xlfn.XLOOKUP(tblData[[#This Row],[Department]], tblOwners[Department], tblOwners[Budget Owner], "Not found")</f>
        <v>Siobhan Kelly</v>
      </c>
    </row>
    <row r="12" spans="1:11" x14ac:dyDescent="0.3">
      <c r="A12" t="s">
        <v>6</v>
      </c>
      <c r="B12" t="s">
        <v>20</v>
      </c>
      <c r="C12" t="s">
        <v>21</v>
      </c>
      <c r="D12" t="s">
        <v>12</v>
      </c>
      <c r="E12" s="4">
        <v>18000</v>
      </c>
      <c r="F12" s="3">
        <v>18420.009999999998</v>
      </c>
      <c r="G12" s="3">
        <f>tblData[[#This Row],[Actual]]-tblData[[#This Row],[Budget]]</f>
        <v>420.0099999999984</v>
      </c>
      <c r="H12" s="1">
        <f>IF(tblData[[#This Row],[Budget]]=0,0,tblData[[#This Row],[Variance]]/tblData[[#This Row],[Budget]])</f>
        <v>2.33338888888888E-2</v>
      </c>
      <c r="I12" t="str">
        <f>IF(tblData[[#This Row],[Type]]="Revenue",IF(tblData[[#This Row],[Variance]]&gt;=0,"Favourable","Adverse"),IF(tblData[[#This Row],[Variance]]&lt;=0,"Favourable","Adverse"))</f>
        <v>Adverse</v>
      </c>
      <c r="J12" t="str">
        <f>"Q"&amp;ROUNDUP(VALUE(RIGHT(tblData[[#This Row],[Month]],2))/3,0)</f>
        <v>Q1</v>
      </c>
      <c r="K12" t="str">
        <f>_xlfn.XLOOKUP(tblData[[#This Row],[Department]], tblOwners[Department], tblOwners[Budget Owner], "Not found")</f>
        <v>Ravi Sharma</v>
      </c>
    </row>
    <row r="13" spans="1:11" x14ac:dyDescent="0.3">
      <c r="A13" t="s">
        <v>6</v>
      </c>
      <c r="B13" t="s">
        <v>20</v>
      </c>
      <c r="C13" t="s">
        <v>22</v>
      </c>
      <c r="D13" t="s">
        <v>12</v>
      </c>
      <c r="E13" s="4">
        <v>8000</v>
      </c>
      <c r="F13" s="3">
        <v>8015.85</v>
      </c>
      <c r="G13" s="3">
        <f>tblData[[#This Row],[Actual]]-tblData[[#This Row],[Budget]]</f>
        <v>15.850000000000364</v>
      </c>
      <c r="H13" s="1">
        <f>IF(tblData[[#This Row],[Budget]]=0,0,tblData[[#This Row],[Variance]]/tblData[[#This Row],[Budget]])</f>
        <v>1.9812500000000455E-3</v>
      </c>
      <c r="I13" t="str">
        <f>IF(tblData[[#This Row],[Type]]="Revenue",IF(tblData[[#This Row],[Variance]]&gt;=0,"Favourable","Adverse"),IF(tblData[[#This Row],[Variance]]&lt;=0,"Favourable","Adverse"))</f>
        <v>Adverse</v>
      </c>
      <c r="J13" t="str">
        <f>"Q"&amp;ROUNDUP(VALUE(RIGHT(tblData[[#This Row],[Month]],2))/3,0)</f>
        <v>Q1</v>
      </c>
      <c r="K13" t="str">
        <f>_xlfn.XLOOKUP(tblData[[#This Row],[Department]], tblOwners[Department], tblOwners[Budget Owner], "Not found")</f>
        <v>Ravi Sharma</v>
      </c>
    </row>
    <row r="14" spans="1:11" x14ac:dyDescent="0.3">
      <c r="A14" t="s">
        <v>6</v>
      </c>
      <c r="B14" t="s">
        <v>20</v>
      </c>
      <c r="C14" t="s">
        <v>11</v>
      </c>
      <c r="D14" t="s">
        <v>12</v>
      </c>
      <c r="E14" s="4">
        <v>35000</v>
      </c>
      <c r="F14" s="3">
        <v>36183.599999999999</v>
      </c>
      <c r="G14" s="3">
        <f>tblData[[#This Row],[Actual]]-tblData[[#This Row],[Budget]]</f>
        <v>1183.5999999999985</v>
      </c>
      <c r="H14" s="1">
        <f>IF(tblData[[#This Row],[Budget]]=0,0,tblData[[#This Row],[Variance]]/tblData[[#This Row],[Budget]])</f>
        <v>3.3817142857142816E-2</v>
      </c>
      <c r="I14" t="str">
        <f>IF(tblData[[#This Row],[Type]]="Revenue",IF(tblData[[#This Row],[Variance]]&gt;=0,"Favourable","Adverse"),IF(tblData[[#This Row],[Variance]]&lt;=0,"Favourable","Adverse"))</f>
        <v>Adverse</v>
      </c>
      <c r="J14" t="str">
        <f>"Q"&amp;ROUNDUP(VALUE(RIGHT(tblData[[#This Row],[Month]],2))/3,0)</f>
        <v>Q1</v>
      </c>
      <c r="K14" t="str">
        <f>_xlfn.XLOOKUP(tblData[[#This Row],[Department]], tblOwners[Department], tblOwners[Budget Owner], "Not found")</f>
        <v>Ravi Sharma</v>
      </c>
    </row>
    <row r="15" spans="1:11" x14ac:dyDescent="0.3">
      <c r="A15" t="s">
        <v>6</v>
      </c>
      <c r="B15" t="s">
        <v>23</v>
      </c>
      <c r="C15" t="s">
        <v>24</v>
      </c>
      <c r="D15" t="s">
        <v>12</v>
      </c>
      <c r="E15" s="4">
        <v>6000</v>
      </c>
      <c r="F15" s="3">
        <v>6084.15</v>
      </c>
      <c r="G15" s="3">
        <f>tblData[[#This Row],[Actual]]-tblData[[#This Row],[Budget]]</f>
        <v>84.149999999999636</v>
      </c>
      <c r="H15" s="1">
        <f>IF(tblData[[#This Row],[Budget]]=0,0,tblData[[#This Row],[Variance]]/tblData[[#This Row],[Budget]])</f>
        <v>1.4024999999999939E-2</v>
      </c>
      <c r="I15" t="str">
        <f>IF(tblData[[#This Row],[Type]]="Revenue",IF(tblData[[#This Row],[Variance]]&gt;=0,"Favourable","Adverse"),IF(tblData[[#This Row],[Variance]]&lt;=0,"Favourable","Adverse"))</f>
        <v>Adverse</v>
      </c>
      <c r="J15" t="str">
        <f>"Q"&amp;ROUNDUP(VALUE(RIGHT(tblData[[#This Row],[Month]],2))/3,0)</f>
        <v>Q1</v>
      </c>
      <c r="K15" t="str">
        <f>_xlfn.XLOOKUP(tblData[[#This Row],[Department]], tblOwners[Department], tblOwners[Budget Owner], "Not found")</f>
        <v>Niamh Walsh</v>
      </c>
    </row>
    <row r="16" spans="1:11" x14ac:dyDescent="0.3">
      <c r="A16" t="s">
        <v>6</v>
      </c>
      <c r="B16" t="s">
        <v>23</v>
      </c>
      <c r="C16" t="s">
        <v>25</v>
      </c>
      <c r="D16" t="s">
        <v>12</v>
      </c>
      <c r="E16" s="4">
        <v>5000</v>
      </c>
      <c r="F16" s="3">
        <v>4871.1099999999997</v>
      </c>
      <c r="G16" s="3">
        <f>tblData[[#This Row],[Actual]]-tblData[[#This Row],[Budget]]</f>
        <v>-128.89000000000033</v>
      </c>
      <c r="H16" s="1">
        <f>IF(tblData[[#This Row],[Budget]]=0,0,tblData[[#This Row],[Variance]]/tblData[[#This Row],[Budget]])</f>
        <v>-2.5778000000000065E-2</v>
      </c>
      <c r="I16" t="str">
        <f>IF(tblData[[#This Row],[Type]]="Revenue",IF(tblData[[#This Row],[Variance]]&gt;=0,"Favourable","Adverse"),IF(tblData[[#This Row],[Variance]]&lt;=0,"Favourable","Adverse"))</f>
        <v>Favourable</v>
      </c>
      <c r="J16" t="str">
        <f>"Q"&amp;ROUNDUP(VALUE(RIGHT(tblData[[#This Row],[Month]],2))/3,0)</f>
        <v>Q1</v>
      </c>
      <c r="K16" t="str">
        <f>_xlfn.XLOOKUP(tblData[[#This Row],[Department]], tblOwners[Department], tblOwners[Budget Owner], "Not found")</f>
        <v>Niamh Walsh</v>
      </c>
    </row>
    <row r="17" spans="1:11" x14ac:dyDescent="0.3">
      <c r="A17" t="s">
        <v>6</v>
      </c>
      <c r="B17" t="s">
        <v>23</v>
      </c>
      <c r="C17" t="s">
        <v>11</v>
      </c>
      <c r="D17" t="s">
        <v>12</v>
      </c>
      <c r="E17" s="4">
        <v>20000</v>
      </c>
      <c r="F17" s="3">
        <v>20221.25</v>
      </c>
      <c r="G17" s="3">
        <f>tblData[[#This Row],[Actual]]-tblData[[#This Row],[Budget]]</f>
        <v>221.25</v>
      </c>
      <c r="H17" s="1">
        <f>IF(tblData[[#This Row],[Budget]]=0,0,tblData[[#This Row],[Variance]]/tblData[[#This Row],[Budget]])</f>
        <v>1.1062499999999999E-2</v>
      </c>
      <c r="I17" t="str">
        <f>IF(tblData[[#This Row],[Type]]="Revenue",IF(tblData[[#This Row],[Variance]]&gt;=0,"Favourable","Adverse"),IF(tblData[[#This Row],[Variance]]&lt;=0,"Favourable","Adverse"))</f>
        <v>Adverse</v>
      </c>
      <c r="J17" t="str">
        <f>"Q"&amp;ROUNDUP(VALUE(RIGHT(tblData[[#This Row],[Month]],2))/3,0)</f>
        <v>Q1</v>
      </c>
      <c r="K17" t="str">
        <f>_xlfn.XLOOKUP(tblData[[#This Row],[Department]], tblOwners[Department], tblOwners[Budget Owner], "Not found")</f>
        <v>Niamh Walsh</v>
      </c>
    </row>
    <row r="18" spans="1:11" x14ac:dyDescent="0.3">
      <c r="A18" t="s">
        <v>6</v>
      </c>
      <c r="B18" t="s">
        <v>26</v>
      </c>
      <c r="C18" t="s">
        <v>27</v>
      </c>
      <c r="D18" t="s">
        <v>12</v>
      </c>
      <c r="E18" s="4">
        <v>7000</v>
      </c>
      <c r="F18" s="3">
        <v>6798.63</v>
      </c>
      <c r="G18" s="3">
        <f>tblData[[#This Row],[Actual]]-tblData[[#This Row],[Budget]]</f>
        <v>-201.36999999999989</v>
      </c>
      <c r="H18" s="1">
        <f>IF(tblData[[#This Row],[Budget]]=0,0,tblData[[#This Row],[Variance]]/tblData[[#This Row],[Budget]])</f>
        <v>-2.8767142857142842E-2</v>
      </c>
      <c r="I18" t="str">
        <f>IF(tblData[[#This Row],[Type]]="Revenue",IF(tblData[[#This Row],[Variance]]&gt;=0,"Favourable","Adverse"),IF(tblData[[#This Row],[Variance]]&lt;=0,"Favourable","Adverse"))</f>
        <v>Favourable</v>
      </c>
      <c r="J18" t="str">
        <f>"Q"&amp;ROUNDUP(VALUE(RIGHT(tblData[[#This Row],[Month]],2))/3,0)</f>
        <v>Q1</v>
      </c>
      <c r="K18" t="str">
        <f>_xlfn.XLOOKUP(tblData[[#This Row],[Department]], tblOwners[Department], tblOwners[Budget Owner], "Not found")</f>
        <v>Conor Murphy</v>
      </c>
    </row>
    <row r="19" spans="1:11" x14ac:dyDescent="0.3">
      <c r="A19" t="s">
        <v>6</v>
      </c>
      <c r="B19" t="s">
        <v>26</v>
      </c>
      <c r="C19" t="s">
        <v>11</v>
      </c>
      <c r="D19" t="s">
        <v>12</v>
      </c>
      <c r="E19" s="4">
        <v>25000</v>
      </c>
      <c r="F19" s="3">
        <v>25658.84</v>
      </c>
      <c r="G19" s="3">
        <f>tblData[[#This Row],[Actual]]-tblData[[#This Row],[Budget]]</f>
        <v>658.84000000000015</v>
      </c>
      <c r="H19" s="1">
        <f>IF(tblData[[#This Row],[Budget]]=0,0,tblData[[#This Row],[Variance]]/tblData[[#This Row],[Budget]])</f>
        <v>2.6353600000000005E-2</v>
      </c>
      <c r="I19" t="str">
        <f>IF(tblData[[#This Row],[Type]]="Revenue",IF(tblData[[#This Row],[Variance]]&gt;=0,"Favourable","Adverse"),IF(tblData[[#This Row],[Variance]]&lt;=0,"Favourable","Adverse"))</f>
        <v>Adverse</v>
      </c>
      <c r="J19" t="str">
        <f>"Q"&amp;ROUNDUP(VALUE(RIGHT(tblData[[#This Row],[Month]],2))/3,0)</f>
        <v>Q1</v>
      </c>
      <c r="K19" t="str">
        <f>_xlfn.XLOOKUP(tblData[[#This Row],[Department]], tblOwners[Department], tblOwners[Budget Owner], "Not found")</f>
        <v>Conor Murphy</v>
      </c>
    </row>
    <row r="20" spans="1:11" x14ac:dyDescent="0.3">
      <c r="A20" t="s">
        <v>28</v>
      </c>
      <c r="B20" t="s">
        <v>7</v>
      </c>
      <c r="C20" t="s">
        <v>8</v>
      </c>
      <c r="D20" t="s">
        <v>9</v>
      </c>
      <c r="E20" s="4">
        <v>357000</v>
      </c>
      <c r="F20" s="3">
        <v>356465.29</v>
      </c>
      <c r="G20" s="3">
        <f>tblData[[#This Row],[Actual]]-tblData[[#This Row],[Budget]]</f>
        <v>-534.71000000002095</v>
      </c>
      <c r="H20" s="1">
        <f>IF(tblData[[#This Row],[Budget]]=0,0,tblData[[#This Row],[Variance]]/tblData[[#This Row],[Budget]])</f>
        <v>-1.4977871148459971E-3</v>
      </c>
      <c r="I20" t="str">
        <f>IF(tblData[[#This Row],[Type]]="Revenue",IF(tblData[[#This Row],[Variance]]&gt;=0,"Favourable","Adverse"),IF(tblData[[#This Row],[Variance]]&lt;=0,"Favourable","Adverse"))</f>
        <v>Adverse</v>
      </c>
      <c r="J20" t="str">
        <f>"Q"&amp;ROUNDUP(VALUE(RIGHT(tblData[[#This Row],[Month]],2))/3,0)</f>
        <v>Q1</v>
      </c>
      <c r="K20" t="str">
        <f>_xlfn.XLOOKUP(tblData[[#This Row],[Department]], tblOwners[Department], tblOwners[Budget Owner], "Not found")</f>
        <v>Aoife Byrne</v>
      </c>
    </row>
    <row r="21" spans="1:11" x14ac:dyDescent="0.3">
      <c r="A21" t="s">
        <v>28</v>
      </c>
      <c r="B21" t="s">
        <v>7</v>
      </c>
      <c r="C21" t="s">
        <v>10</v>
      </c>
      <c r="D21" t="s">
        <v>9</v>
      </c>
      <c r="E21" s="4">
        <v>51000</v>
      </c>
      <c r="F21" s="3">
        <v>50717.16</v>
      </c>
      <c r="G21" s="3">
        <f>tblData[[#This Row],[Actual]]-tblData[[#This Row],[Budget]]</f>
        <v>-282.83999999999651</v>
      </c>
      <c r="H21" s="1">
        <f>IF(tblData[[#This Row],[Budget]]=0,0,tblData[[#This Row],[Variance]]/tblData[[#This Row],[Budget]])</f>
        <v>-5.545882352941108E-3</v>
      </c>
      <c r="I21" t="str">
        <f>IF(tblData[[#This Row],[Type]]="Revenue",IF(tblData[[#This Row],[Variance]]&gt;=0,"Favourable","Adverse"),IF(tblData[[#This Row],[Variance]]&lt;=0,"Favourable","Adverse"))</f>
        <v>Adverse</v>
      </c>
      <c r="J21" t="str">
        <f>"Q"&amp;ROUNDUP(VALUE(RIGHT(tblData[[#This Row],[Month]],2))/3,0)</f>
        <v>Q1</v>
      </c>
      <c r="K21" t="str">
        <f>_xlfn.XLOOKUP(tblData[[#This Row],[Department]], tblOwners[Department], tblOwners[Budget Owner], "Not found")</f>
        <v>Aoife Byrne</v>
      </c>
    </row>
    <row r="22" spans="1:11" x14ac:dyDescent="0.3">
      <c r="A22" t="s">
        <v>28</v>
      </c>
      <c r="B22" t="s">
        <v>7</v>
      </c>
      <c r="C22" t="s">
        <v>11</v>
      </c>
      <c r="D22" t="s">
        <v>12</v>
      </c>
      <c r="E22" s="4">
        <v>85000</v>
      </c>
      <c r="F22" s="3">
        <v>83263.63</v>
      </c>
      <c r="G22" s="3">
        <f>tblData[[#This Row],[Actual]]-tblData[[#This Row],[Budget]]</f>
        <v>-1736.3699999999953</v>
      </c>
      <c r="H22" s="1">
        <f>IF(tblData[[#This Row],[Budget]]=0,0,tblData[[#This Row],[Variance]]/tblData[[#This Row],[Budget]])</f>
        <v>-2.0427882352941122E-2</v>
      </c>
      <c r="I22" t="str">
        <f>IF(tblData[[#This Row],[Type]]="Revenue",IF(tblData[[#This Row],[Variance]]&gt;=0,"Favourable","Adverse"),IF(tblData[[#This Row],[Variance]]&lt;=0,"Favourable","Adverse"))</f>
        <v>Favourable</v>
      </c>
      <c r="J22" t="str">
        <f>"Q"&amp;ROUNDUP(VALUE(RIGHT(tblData[[#This Row],[Month]],2))/3,0)</f>
        <v>Q1</v>
      </c>
      <c r="K22" t="str">
        <f>_xlfn.XLOOKUP(tblData[[#This Row],[Department]], tblOwners[Department], tblOwners[Budget Owner], "Not found")</f>
        <v>Aoife Byrne</v>
      </c>
    </row>
    <row r="23" spans="1:11" x14ac:dyDescent="0.3">
      <c r="A23" t="s">
        <v>28</v>
      </c>
      <c r="B23" t="s">
        <v>7</v>
      </c>
      <c r="C23" t="s">
        <v>13</v>
      </c>
      <c r="D23" t="s">
        <v>12</v>
      </c>
      <c r="E23" s="4">
        <v>12000</v>
      </c>
      <c r="F23" s="3">
        <v>8907.2800000000007</v>
      </c>
      <c r="G23" s="3">
        <f>tblData[[#This Row],[Actual]]-tblData[[#This Row],[Budget]]</f>
        <v>-3092.7199999999993</v>
      </c>
      <c r="H23" s="1">
        <f>IF(tblData[[#This Row],[Budget]]=0,0,tblData[[#This Row],[Variance]]/tblData[[#This Row],[Budget]])</f>
        <v>-0.2577266666666666</v>
      </c>
      <c r="I23" t="str">
        <f>IF(tblData[[#This Row],[Type]]="Revenue",IF(tblData[[#This Row],[Variance]]&gt;=0,"Favourable","Adverse"),IF(tblData[[#This Row],[Variance]]&lt;=0,"Favourable","Adverse"))</f>
        <v>Favourable</v>
      </c>
      <c r="J23" t="str">
        <f>"Q"&amp;ROUNDUP(VALUE(RIGHT(tblData[[#This Row],[Month]],2))/3,0)</f>
        <v>Q1</v>
      </c>
      <c r="K23" t="str">
        <f>_xlfn.XLOOKUP(tblData[[#This Row],[Department]], tblOwners[Department], tblOwners[Budget Owner], "Not found")</f>
        <v>Aoife Byrne</v>
      </c>
    </row>
    <row r="24" spans="1:11" x14ac:dyDescent="0.3">
      <c r="A24" t="s">
        <v>28</v>
      </c>
      <c r="B24" t="s">
        <v>14</v>
      </c>
      <c r="C24" t="s">
        <v>15</v>
      </c>
      <c r="D24" t="s">
        <v>12</v>
      </c>
      <c r="E24" s="4">
        <v>45000</v>
      </c>
      <c r="F24" s="3">
        <v>44421.760000000002</v>
      </c>
      <c r="G24" s="3">
        <f>tblData[[#This Row],[Actual]]-tblData[[#This Row],[Budget]]</f>
        <v>-578.23999999999796</v>
      </c>
      <c r="H24" s="1">
        <f>IF(tblData[[#This Row],[Budget]]=0,0,tblData[[#This Row],[Variance]]/tblData[[#This Row],[Budget]])</f>
        <v>-1.2849777777777733E-2</v>
      </c>
      <c r="I24" t="str">
        <f>IF(tblData[[#This Row],[Type]]="Revenue",IF(tblData[[#This Row],[Variance]]&gt;=0,"Favourable","Adverse"),IF(tblData[[#This Row],[Variance]]&lt;=0,"Favourable","Adverse"))</f>
        <v>Favourable</v>
      </c>
      <c r="J24" t="str">
        <f>"Q"&amp;ROUNDUP(VALUE(RIGHT(tblData[[#This Row],[Month]],2))/3,0)</f>
        <v>Q1</v>
      </c>
      <c r="K24" t="str">
        <f>_xlfn.XLOOKUP(tblData[[#This Row],[Department]], tblOwners[Department], tblOwners[Budget Owner], "Not found")</f>
        <v>Liam O'Connor</v>
      </c>
    </row>
    <row r="25" spans="1:11" x14ac:dyDescent="0.3">
      <c r="A25" t="s">
        <v>28</v>
      </c>
      <c r="B25" t="s">
        <v>14</v>
      </c>
      <c r="C25" t="s">
        <v>16</v>
      </c>
      <c r="D25" t="s">
        <v>12</v>
      </c>
      <c r="E25" s="4">
        <v>10000</v>
      </c>
      <c r="F25" s="3">
        <v>9894.36</v>
      </c>
      <c r="G25" s="3">
        <f>tblData[[#This Row],[Actual]]-tblData[[#This Row],[Budget]]</f>
        <v>-105.63999999999942</v>
      </c>
      <c r="H25" s="1">
        <f>IF(tblData[[#This Row],[Budget]]=0,0,tblData[[#This Row],[Variance]]/tblData[[#This Row],[Budget]])</f>
        <v>-1.0563999999999941E-2</v>
      </c>
      <c r="I25" t="str">
        <f>IF(tblData[[#This Row],[Type]]="Revenue",IF(tblData[[#This Row],[Variance]]&gt;=0,"Favourable","Adverse"),IF(tblData[[#This Row],[Variance]]&lt;=0,"Favourable","Adverse"))</f>
        <v>Favourable</v>
      </c>
      <c r="J25" t="str">
        <f>"Q"&amp;ROUNDUP(VALUE(RIGHT(tblData[[#This Row],[Month]],2))/3,0)</f>
        <v>Q1</v>
      </c>
      <c r="K25" t="str">
        <f>_xlfn.XLOOKUP(tblData[[#This Row],[Department]], tblOwners[Department], tblOwners[Budget Owner], "Not found")</f>
        <v>Liam O'Connor</v>
      </c>
    </row>
    <row r="26" spans="1:11" x14ac:dyDescent="0.3">
      <c r="A26" t="s">
        <v>28</v>
      </c>
      <c r="B26" t="s">
        <v>14</v>
      </c>
      <c r="C26" t="s">
        <v>11</v>
      </c>
      <c r="D26" t="s">
        <v>12</v>
      </c>
      <c r="E26" s="4">
        <v>30000</v>
      </c>
      <c r="F26" s="3">
        <v>30479.08</v>
      </c>
      <c r="G26" s="3">
        <f>tblData[[#This Row],[Actual]]-tblData[[#This Row],[Budget]]</f>
        <v>479.08000000000175</v>
      </c>
      <c r="H26" s="1">
        <f>IF(tblData[[#This Row],[Budget]]=0,0,tblData[[#This Row],[Variance]]/tblData[[#This Row],[Budget]])</f>
        <v>1.5969333333333391E-2</v>
      </c>
      <c r="I26" t="str">
        <f>IF(tblData[[#This Row],[Type]]="Revenue",IF(tblData[[#This Row],[Variance]]&gt;=0,"Favourable","Adverse"),IF(tblData[[#This Row],[Variance]]&lt;=0,"Favourable","Adverse"))</f>
        <v>Adverse</v>
      </c>
      <c r="J26" t="str">
        <f>"Q"&amp;ROUNDUP(VALUE(RIGHT(tblData[[#This Row],[Month]],2))/3,0)</f>
        <v>Q1</v>
      </c>
      <c r="K26" t="str">
        <f>_xlfn.XLOOKUP(tblData[[#This Row],[Department]], tblOwners[Department], tblOwners[Budget Owner], "Not found")</f>
        <v>Liam O'Connor</v>
      </c>
    </row>
    <row r="27" spans="1:11" x14ac:dyDescent="0.3">
      <c r="A27" t="s">
        <v>28</v>
      </c>
      <c r="B27" t="s">
        <v>17</v>
      </c>
      <c r="C27" t="s">
        <v>18</v>
      </c>
      <c r="D27" t="s">
        <v>12</v>
      </c>
      <c r="E27" s="4">
        <v>40000</v>
      </c>
      <c r="F27" s="3">
        <v>40438.53</v>
      </c>
      <c r="G27" s="3">
        <f>tblData[[#This Row],[Actual]]-tblData[[#This Row],[Budget]]</f>
        <v>438.52999999999884</v>
      </c>
      <c r="H27" s="1">
        <f>IF(tblData[[#This Row],[Budget]]=0,0,tblData[[#This Row],[Variance]]/tblData[[#This Row],[Budget]])</f>
        <v>1.0963249999999971E-2</v>
      </c>
      <c r="I27" t="str">
        <f>IF(tblData[[#This Row],[Type]]="Revenue",IF(tblData[[#This Row],[Variance]]&gt;=0,"Favourable","Adverse"),IF(tblData[[#This Row],[Variance]]&lt;=0,"Favourable","Adverse"))</f>
        <v>Adverse</v>
      </c>
      <c r="J27" t="str">
        <f>"Q"&amp;ROUNDUP(VALUE(RIGHT(tblData[[#This Row],[Month]],2))/3,0)</f>
        <v>Q1</v>
      </c>
      <c r="K27" t="str">
        <f>_xlfn.XLOOKUP(tblData[[#This Row],[Department]], tblOwners[Department], tblOwners[Budget Owner], "Not found")</f>
        <v>Siobhan Kelly</v>
      </c>
    </row>
    <row r="28" spans="1:11" x14ac:dyDescent="0.3">
      <c r="A28" t="s">
        <v>28</v>
      </c>
      <c r="B28" t="s">
        <v>17</v>
      </c>
      <c r="C28" t="s">
        <v>19</v>
      </c>
      <c r="D28" t="s">
        <v>12</v>
      </c>
      <c r="E28" s="4">
        <v>55000</v>
      </c>
      <c r="F28" s="3">
        <v>55681.01</v>
      </c>
      <c r="G28" s="3">
        <f>tblData[[#This Row],[Actual]]-tblData[[#This Row],[Budget]]</f>
        <v>681.01000000000204</v>
      </c>
      <c r="H28" s="1">
        <f>IF(tblData[[#This Row],[Budget]]=0,0,tblData[[#This Row],[Variance]]/tblData[[#This Row],[Budget]])</f>
        <v>1.2382000000000037E-2</v>
      </c>
      <c r="I28" t="str">
        <f>IF(tblData[[#This Row],[Type]]="Revenue",IF(tblData[[#This Row],[Variance]]&gt;=0,"Favourable","Adverse"),IF(tblData[[#This Row],[Variance]]&lt;=0,"Favourable","Adverse"))</f>
        <v>Adverse</v>
      </c>
      <c r="J28" t="str">
        <f>"Q"&amp;ROUNDUP(VALUE(RIGHT(tblData[[#This Row],[Month]],2))/3,0)</f>
        <v>Q1</v>
      </c>
      <c r="K28" t="str">
        <f>_xlfn.XLOOKUP(tblData[[#This Row],[Department]], tblOwners[Department], tblOwners[Budget Owner], "Not found")</f>
        <v>Siobhan Kelly</v>
      </c>
    </row>
    <row r="29" spans="1:11" x14ac:dyDescent="0.3">
      <c r="A29" t="s">
        <v>28</v>
      </c>
      <c r="B29" t="s">
        <v>17</v>
      </c>
      <c r="C29" t="s">
        <v>11</v>
      </c>
      <c r="D29" t="s">
        <v>12</v>
      </c>
      <c r="E29" s="4">
        <v>70000</v>
      </c>
      <c r="F29" s="3">
        <v>70904.72</v>
      </c>
      <c r="G29" s="3">
        <f>tblData[[#This Row],[Actual]]-tblData[[#This Row],[Budget]]</f>
        <v>904.72000000000116</v>
      </c>
      <c r="H29" s="1">
        <f>IF(tblData[[#This Row],[Budget]]=0,0,tblData[[#This Row],[Variance]]/tblData[[#This Row],[Budget]])</f>
        <v>1.2924571428571445E-2</v>
      </c>
      <c r="I29" t="str">
        <f>IF(tblData[[#This Row],[Type]]="Revenue",IF(tblData[[#This Row],[Variance]]&gt;=0,"Favourable","Adverse"),IF(tblData[[#This Row],[Variance]]&lt;=0,"Favourable","Adverse"))</f>
        <v>Adverse</v>
      </c>
      <c r="J29" t="str">
        <f>"Q"&amp;ROUNDUP(VALUE(RIGHT(tblData[[#This Row],[Month]],2))/3,0)</f>
        <v>Q1</v>
      </c>
      <c r="K29" t="str">
        <f>_xlfn.XLOOKUP(tblData[[#This Row],[Department]], tblOwners[Department], tblOwners[Budget Owner], "Not found")</f>
        <v>Siobhan Kelly</v>
      </c>
    </row>
    <row r="30" spans="1:11" x14ac:dyDescent="0.3">
      <c r="A30" t="s">
        <v>28</v>
      </c>
      <c r="B30" t="s">
        <v>20</v>
      </c>
      <c r="C30" t="s">
        <v>21</v>
      </c>
      <c r="D30" t="s">
        <v>12</v>
      </c>
      <c r="E30" s="4">
        <v>18000</v>
      </c>
      <c r="F30" s="3">
        <v>19156.490000000002</v>
      </c>
      <c r="G30" s="3">
        <f>tblData[[#This Row],[Actual]]-tblData[[#This Row],[Budget]]</f>
        <v>1156.4900000000016</v>
      </c>
      <c r="H30" s="1">
        <f>IF(tblData[[#This Row],[Budget]]=0,0,tblData[[#This Row],[Variance]]/tblData[[#This Row],[Budget]])</f>
        <v>6.424944444444454E-2</v>
      </c>
      <c r="I30" t="str">
        <f>IF(tblData[[#This Row],[Type]]="Revenue",IF(tblData[[#This Row],[Variance]]&gt;=0,"Favourable","Adverse"),IF(tblData[[#This Row],[Variance]]&lt;=0,"Favourable","Adverse"))</f>
        <v>Adverse</v>
      </c>
      <c r="J30" t="str">
        <f>"Q"&amp;ROUNDUP(VALUE(RIGHT(tblData[[#This Row],[Month]],2))/3,0)</f>
        <v>Q1</v>
      </c>
      <c r="K30" t="str">
        <f>_xlfn.XLOOKUP(tblData[[#This Row],[Department]], tblOwners[Department], tblOwners[Budget Owner], "Not found")</f>
        <v>Ravi Sharma</v>
      </c>
    </row>
    <row r="31" spans="1:11" x14ac:dyDescent="0.3">
      <c r="A31" t="s">
        <v>28</v>
      </c>
      <c r="B31" t="s">
        <v>20</v>
      </c>
      <c r="C31" t="s">
        <v>22</v>
      </c>
      <c r="D31" t="s">
        <v>12</v>
      </c>
      <c r="E31" s="4">
        <v>8000</v>
      </c>
      <c r="F31" s="3">
        <v>7902.46</v>
      </c>
      <c r="G31" s="3">
        <f>tblData[[#This Row],[Actual]]-tblData[[#This Row],[Budget]]</f>
        <v>-97.539999999999964</v>
      </c>
      <c r="H31" s="1">
        <f>IF(tblData[[#This Row],[Budget]]=0,0,tblData[[#This Row],[Variance]]/tblData[[#This Row],[Budget]])</f>
        <v>-1.2192499999999995E-2</v>
      </c>
      <c r="I31" t="str">
        <f>IF(tblData[[#This Row],[Type]]="Revenue",IF(tblData[[#This Row],[Variance]]&gt;=0,"Favourable","Adverse"),IF(tblData[[#This Row],[Variance]]&lt;=0,"Favourable","Adverse"))</f>
        <v>Favourable</v>
      </c>
      <c r="J31" t="str">
        <f>"Q"&amp;ROUNDUP(VALUE(RIGHT(tblData[[#This Row],[Month]],2))/3,0)</f>
        <v>Q1</v>
      </c>
      <c r="K31" t="str">
        <f>_xlfn.XLOOKUP(tblData[[#This Row],[Department]], tblOwners[Department], tblOwners[Budget Owner], "Not found")</f>
        <v>Ravi Sharma</v>
      </c>
    </row>
    <row r="32" spans="1:11" x14ac:dyDescent="0.3">
      <c r="A32" t="s">
        <v>28</v>
      </c>
      <c r="B32" t="s">
        <v>20</v>
      </c>
      <c r="C32" t="s">
        <v>11</v>
      </c>
      <c r="D32" t="s">
        <v>12</v>
      </c>
      <c r="E32" s="4">
        <v>35000</v>
      </c>
      <c r="F32" s="3">
        <v>34462.15</v>
      </c>
      <c r="G32" s="3">
        <f>tblData[[#This Row],[Actual]]-tblData[[#This Row],[Budget]]</f>
        <v>-537.84999999999854</v>
      </c>
      <c r="H32" s="1">
        <f>IF(tblData[[#This Row],[Budget]]=0,0,tblData[[#This Row],[Variance]]/tblData[[#This Row],[Budget]])</f>
        <v>-1.5367142857142815E-2</v>
      </c>
      <c r="I32" t="str">
        <f>IF(tblData[[#This Row],[Type]]="Revenue",IF(tblData[[#This Row],[Variance]]&gt;=0,"Favourable","Adverse"),IF(tblData[[#This Row],[Variance]]&lt;=0,"Favourable","Adverse"))</f>
        <v>Favourable</v>
      </c>
      <c r="J32" t="str">
        <f>"Q"&amp;ROUNDUP(VALUE(RIGHT(tblData[[#This Row],[Month]],2))/3,0)</f>
        <v>Q1</v>
      </c>
      <c r="K32" t="str">
        <f>_xlfn.XLOOKUP(tblData[[#This Row],[Department]], tblOwners[Department], tblOwners[Budget Owner], "Not found")</f>
        <v>Ravi Sharma</v>
      </c>
    </row>
    <row r="33" spans="1:11" x14ac:dyDescent="0.3">
      <c r="A33" t="s">
        <v>28</v>
      </c>
      <c r="B33" t="s">
        <v>23</v>
      </c>
      <c r="C33" t="s">
        <v>24</v>
      </c>
      <c r="D33" t="s">
        <v>12</v>
      </c>
      <c r="E33" s="4">
        <v>6000</v>
      </c>
      <c r="F33" s="3">
        <v>5853.52</v>
      </c>
      <c r="G33" s="3">
        <f>tblData[[#This Row],[Actual]]-tblData[[#This Row],[Budget]]</f>
        <v>-146.47999999999956</v>
      </c>
      <c r="H33" s="1">
        <f>IF(tblData[[#This Row],[Budget]]=0,0,tblData[[#This Row],[Variance]]/tblData[[#This Row],[Budget]])</f>
        <v>-2.4413333333333259E-2</v>
      </c>
      <c r="I33" t="str">
        <f>IF(tblData[[#This Row],[Type]]="Revenue",IF(tblData[[#This Row],[Variance]]&gt;=0,"Favourable","Adverse"),IF(tblData[[#This Row],[Variance]]&lt;=0,"Favourable","Adverse"))</f>
        <v>Favourable</v>
      </c>
      <c r="J33" t="str">
        <f>"Q"&amp;ROUNDUP(VALUE(RIGHT(tblData[[#This Row],[Month]],2))/3,0)</f>
        <v>Q1</v>
      </c>
      <c r="K33" t="str">
        <f>_xlfn.XLOOKUP(tblData[[#This Row],[Department]], tblOwners[Department], tblOwners[Budget Owner], "Not found")</f>
        <v>Niamh Walsh</v>
      </c>
    </row>
    <row r="34" spans="1:11" x14ac:dyDescent="0.3">
      <c r="A34" t="s">
        <v>28</v>
      </c>
      <c r="B34" t="s">
        <v>23</v>
      </c>
      <c r="C34" t="s">
        <v>25</v>
      </c>
      <c r="D34" t="s">
        <v>12</v>
      </c>
      <c r="E34" s="4">
        <v>5000</v>
      </c>
      <c r="F34" s="3">
        <v>5092.3999999999996</v>
      </c>
      <c r="G34" s="3">
        <f>tblData[[#This Row],[Actual]]-tblData[[#This Row],[Budget]]</f>
        <v>92.399999999999636</v>
      </c>
      <c r="H34" s="1">
        <f>IF(tblData[[#This Row],[Budget]]=0,0,tblData[[#This Row],[Variance]]/tblData[[#This Row],[Budget]])</f>
        <v>1.8479999999999927E-2</v>
      </c>
      <c r="I34" t="str">
        <f>IF(tblData[[#This Row],[Type]]="Revenue",IF(tblData[[#This Row],[Variance]]&gt;=0,"Favourable","Adverse"),IF(tblData[[#This Row],[Variance]]&lt;=0,"Favourable","Adverse"))</f>
        <v>Adverse</v>
      </c>
      <c r="J34" t="str">
        <f>"Q"&amp;ROUNDUP(VALUE(RIGHT(tblData[[#This Row],[Month]],2))/3,0)</f>
        <v>Q1</v>
      </c>
      <c r="K34" t="str">
        <f>_xlfn.XLOOKUP(tblData[[#This Row],[Department]], tblOwners[Department], tblOwners[Budget Owner], "Not found")</f>
        <v>Niamh Walsh</v>
      </c>
    </row>
    <row r="35" spans="1:11" x14ac:dyDescent="0.3">
      <c r="A35" t="s">
        <v>28</v>
      </c>
      <c r="B35" t="s">
        <v>23</v>
      </c>
      <c r="C35" t="s">
        <v>11</v>
      </c>
      <c r="D35" t="s">
        <v>12</v>
      </c>
      <c r="E35" s="4">
        <v>20000</v>
      </c>
      <c r="F35" s="3">
        <v>20677.38</v>
      </c>
      <c r="G35" s="3">
        <f>tblData[[#This Row],[Actual]]-tblData[[#This Row],[Budget]]</f>
        <v>677.38000000000102</v>
      </c>
      <c r="H35" s="1">
        <f>IF(tblData[[#This Row],[Budget]]=0,0,tblData[[#This Row],[Variance]]/tblData[[#This Row],[Budget]])</f>
        <v>3.3869000000000052E-2</v>
      </c>
      <c r="I35" t="str">
        <f>IF(tblData[[#This Row],[Type]]="Revenue",IF(tblData[[#This Row],[Variance]]&gt;=0,"Favourable","Adverse"),IF(tblData[[#This Row],[Variance]]&lt;=0,"Favourable","Adverse"))</f>
        <v>Adverse</v>
      </c>
      <c r="J35" t="str">
        <f>"Q"&amp;ROUNDUP(VALUE(RIGHT(tblData[[#This Row],[Month]],2))/3,0)</f>
        <v>Q1</v>
      </c>
      <c r="K35" t="str">
        <f>_xlfn.XLOOKUP(tblData[[#This Row],[Department]], tblOwners[Department], tblOwners[Budget Owner], "Not found")</f>
        <v>Niamh Walsh</v>
      </c>
    </row>
    <row r="36" spans="1:11" x14ac:dyDescent="0.3">
      <c r="A36" t="s">
        <v>28</v>
      </c>
      <c r="B36" t="s">
        <v>26</v>
      </c>
      <c r="C36" t="s">
        <v>27</v>
      </c>
      <c r="D36" t="s">
        <v>12</v>
      </c>
      <c r="E36" s="4">
        <v>7000</v>
      </c>
      <c r="F36" s="3">
        <v>6976.07</v>
      </c>
      <c r="G36" s="3">
        <f>tblData[[#This Row],[Actual]]-tblData[[#This Row],[Budget]]</f>
        <v>-23.930000000000291</v>
      </c>
      <c r="H36" s="1">
        <f>IF(tblData[[#This Row],[Budget]]=0,0,tblData[[#This Row],[Variance]]/tblData[[#This Row],[Budget]])</f>
        <v>-3.41857142857147E-3</v>
      </c>
      <c r="I36" t="str">
        <f>IF(tblData[[#This Row],[Type]]="Revenue",IF(tblData[[#This Row],[Variance]]&gt;=0,"Favourable","Adverse"),IF(tblData[[#This Row],[Variance]]&lt;=0,"Favourable","Adverse"))</f>
        <v>Favourable</v>
      </c>
      <c r="J36" t="str">
        <f>"Q"&amp;ROUNDUP(VALUE(RIGHT(tblData[[#This Row],[Month]],2))/3,0)</f>
        <v>Q1</v>
      </c>
      <c r="K36" t="str">
        <f>_xlfn.XLOOKUP(tblData[[#This Row],[Department]], tblOwners[Department], tblOwners[Budget Owner], "Not found")</f>
        <v>Conor Murphy</v>
      </c>
    </row>
    <row r="37" spans="1:11" x14ac:dyDescent="0.3">
      <c r="A37" t="s">
        <v>28</v>
      </c>
      <c r="B37" t="s">
        <v>26</v>
      </c>
      <c r="C37" t="s">
        <v>11</v>
      </c>
      <c r="D37" t="s">
        <v>12</v>
      </c>
      <c r="E37" s="4">
        <v>25000</v>
      </c>
      <c r="F37" s="3">
        <v>24369.88</v>
      </c>
      <c r="G37" s="3">
        <f>tblData[[#This Row],[Actual]]-tblData[[#This Row],[Budget]]</f>
        <v>-630.11999999999898</v>
      </c>
      <c r="H37" s="1">
        <f>IF(tblData[[#This Row],[Budget]]=0,0,tblData[[#This Row],[Variance]]/tblData[[#This Row],[Budget]])</f>
        <v>-2.5204799999999958E-2</v>
      </c>
      <c r="I37" t="str">
        <f>IF(tblData[[#This Row],[Type]]="Revenue",IF(tblData[[#This Row],[Variance]]&gt;=0,"Favourable","Adverse"),IF(tblData[[#This Row],[Variance]]&lt;=0,"Favourable","Adverse"))</f>
        <v>Favourable</v>
      </c>
      <c r="J37" t="str">
        <f>"Q"&amp;ROUNDUP(VALUE(RIGHT(tblData[[#This Row],[Month]],2))/3,0)</f>
        <v>Q1</v>
      </c>
      <c r="K37" t="str">
        <f>_xlfn.XLOOKUP(tblData[[#This Row],[Department]], tblOwners[Department], tblOwners[Budget Owner], "Not found")</f>
        <v>Conor Murphy</v>
      </c>
    </row>
    <row r="38" spans="1:11" x14ac:dyDescent="0.3">
      <c r="A38" t="s">
        <v>29</v>
      </c>
      <c r="B38" t="s">
        <v>7</v>
      </c>
      <c r="C38" t="s">
        <v>8</v>
      </c>
      <c r="D38" t="s">
        <v>9</v>
      </c>
      <c r="E38" s="4">
        <v>399000</v>
      </c>
      <c r="F38" s="3">
        <v>389130.96</v>
      </c>
      <c r="G38" s="3">
        <f>tblData[[#This Row],[Actual]]-tblData[[#This Row],[Budget]]</f>
        <v>-9869.039999999979</v>
      </c>
      <c r="H38" s="1">
        <f>IF(tblData[[#This Row],[Budget]]=0,0,tblData[[#This Row],[Variance]]/tblData[[#This Row],[Budget]])</f>
        <v>-2.4734436090225513E-2</v>
      </c>
      <c r="I38" t="str">
        <f>IF(tblData[[#This Row],[Type]]="Revenue",IF(tblData[[#This Row],[Variance]]&gt;=0,"Favourable","Adverse"),IF(tblData[[#This Row],[Variance]]&lt;=0,"Favourable","Adverse"))</f>
        <v>Adverse</v>
      </c>
      <c r="J38" t="str">
        <f>"Q"&amp;ROUNDUP(VALUE(RIGHT(tblData[[#This Row],[Month]],2))/3,0)</f>
        <v>Q1</v>
      </c>
      <c r="K38" t="str">
        <f>_xlfn.XLOOKUP(tblData[[#This Row],[Department]], tblOwners[Department], tblOwners[Budget Owner], "Not found")</f>
        <v>Aoife Byrne</v>
      </c>
    </row>
    <row r="39" spans="1:11" x14ac:dyDescent="0.3">
      <c r="A39" t="s">
        <v>29</v>
      </c>
      <c r="B39" t="s">
        <v>7</v>
      </c>
      <c r="C39" t="s">
        <v>10</v>
      </c>
      <c r="D39" t="s">
        <v>9</v>
      </c>
      <c r="E39" s="4">
        <v>57000</v>
      </c>
      <c r="F39" s="3">
        <v>58112.51</v>
      </c>
      <c r="G39" s="3">
        <f>tblData[[#This Row],[Actual]]-tblData[[#This Row],[Budget]]</f>
        <v>1112.510000000002</v>
      </c>
      <c r="H39" s="1">
        <f>IF(tblData[[#This Row],[Budget]]=0,0,tblData[[#This Row],[Variance]]/tblData[[#This Row],[Budget]])</f>
        <v>1.951771929824565E-2</v>
      </c>
      <c r="I39" t="str">
        <f>IF(tblData[[#This Row],[Type]]="Revenue",IF(tblData[[#This Row],[Variance]]&gt;=0,"Favourable","Adverse"),IF(tblData[[#This Row],[Variance]]&lt;=0,"Favourable","Adverse"))</f>
        <v>Favourable</v>
      </c>
      <c r="J39" t="str">
        <f>"Q"&amp;ROUNDUP(VALUE(RIGHT(tblData[[#This Row],[Month]],2))/3,0)</f>
        <v>Q1</v>
      </c>
      <c r="K39" t="str">
        <f>_xlfn.XLOOKUP(tblData[[#This Row],[Department]], tblOwners[Department], tblOwners[Budget Owner], "Not found")</f>
        <v>Aoife Byrne</v>
      </c>
    </row>
    <row r="40" spans="1:11" x14ac:dyDescent="0.3">
      <c r="A40" t="s">
        <v>29</v>
      </c>
      <c r="B40" t="s">
        <v>7</v>
      </c>
      <c r="C40" t="s">
        <v>11</v>
      </c>
      <c r="D40" t="s">
        <v>12</v>
      </c>
      <c r="E40" s="4">
        <v>85000</v>
      </c>
      <c r="F40" s="3">
        <v>86895.3</v>
      </c>
      <c r="G40" s="3">
        <f>tblData[[#This Row],[Actual]]-tblData[[#This Row],[Budget]]</f>
        <v>1895.3000000000029</v>
      </c>
      <c r="H40" s="1">
        <f>IF(tblData[[#This Row],[Budget]]=0,0,tblData[[#This Row],[Variance]]/tblData[[#This Row],[Budget]])</f>
        <v>2.2297647058823564E-2</v>
      </c>
      <c r="I40" t="str">
        <f>IF(tblData[[#This Row],[Type]]="Revenue",IF(tblData[[#This Row],[Variance]]&gt;=0,"Favourable","Adverse"),IF(tblData[[#This Row],[Variance]]&lt;=0,"Favourable","Adverse"))</f>
        <v>Adverse</v>
      </c>
      <c r="J40" t="str">
        <f>"Q"&amp;ROUNDUP(VALUE(RIGHT(tblData[[#This Row],[Month]],2))/3,0)</f>
        <v>Q1</v>
      </c>
      <c r="K40" t="str">
        <f>_xlfn.XLOOKUP(tblData[[#This Row],[Department]], tblOwners[Department], tblOwners[Budget Owner], "Not found")</f>
        <v>Aoife Byrne</v>
      </c>
    </row>
    <row r="41" spans="1:11" x14ac:dyDescent="0.3">
      <c r="A41" t="s">
        <v>29</v>
      </c>
      <c r="B41" t="s">
        <v>7</v>
      </c>
      <c r="C41" t="s">
        <v>13</v>
      </c>
      <c r="D41" t="s">
        <v>12</v>
      </c>
      <c r="E41" s="4">
        <v>12000</v>
      </c>
      <c r="F41" s="3">
        <v>8600.69</v>
      </c>
      <c r="G41" s="3">
        <f>tblData[[#This Row],[Actual]]-tblData[[#This Row],[Budget]]</f>
        <v>-3399.3099999999995</v>
      </c>
      <c r="H41" s="1">
        <f>IF(tblData[[#This Row],[Budget]]=0,0,tblData[[#This Row],[Variance]]/tblData[[#This Row],[Budget]])</f>
        <v>-0.28327583333333328</v>
      </c>
      <c r="I41" t="str">
        <f>IF(tblData[[#This Row],[Type]]="Revenue",IF(tblData[[#This Row],[Variance]]&gt;=0,"Favourable","Adverse"),IF(tblData[[#This Row],[Variance]]&lt;=0,"Favourable","Adverse"))</f>
        <v>Favourable</v>
      </c>
      <c r="J41" t="str">
        <f>"Q"&amp;ROUNDUP(VALUE(RIGHT(tblData[[#This Row],[Month]],2))/3,0)</f>
        <v>Q1</v>
      </c>
      <c r="K41" t="str">
        <f>_xlfn.XLOOKUP(tblData[[#This Row],[Department]], tblOwners[Department], tblOwners[Budget Owner], "Not found")</f>
        <v>Aoife Byrne</v>
      </c>
    </row>
    <row r="42" spans="1:11" x14ac:dyDescent="0.3">
      <c r="A42" t="s">
        <v>29</v>
      </c>
      <c r="B42" t="s">
        <v>14</v>
      </c>
      <c r="C42" t="s">
        <v>15</v>
      </c>
      <c r="D42" t="s">
        <v>12</v>
      </c>
      <c r="E42" s="4">
        <v>45000</v>
      </c>
      <c r="F42" s="3">
        <v>45313.42</v>
      </c>
      <c r="G42" s="3">
        <f>tblData[[#This Row],[Actual]]-tblData[[#This Row],[Budget]]</f>
        <v>313.41999999999825</v>
      </c>
      <c r="H42" s="1">
        <f>IF(tblData[[#This Row],[Budget]]=0,0,tblData[[#This Row],[Variance]]/tblData[[#This Row],[Budget]])</f>
        <v>6.9648888888888504E-3</v>
      </c>
      <c r="I42" t="str">
        <f>IF(tblData[[#This Row],[Type]]="Revenue",IF(tblData[[#This Row],[Variance]]&gt;=0,"Favourable","Adverse"),IF(tblData[[#This Row],[Variance]]&lt;=0,"Favourable","Adverse"))</f>
        <v>Adverse</v>
      </c>
      <c r="J42" t="str">
        <f>"Q"&amp;ROUNDUP(VALUE(RIGHT(tblData[[#This Row],[Month]],2))/3,0)</f>
        <v>Q1</v>
      </c>
      <c r="K42" t="str">
        <f>_xlfn.XLOOKUP(tblData[[#This Row],[Department]], tblOwners[Department], tblOwners[Budget Owner], "Not found")</f>
        <v>Liam O'Connor</v>
      </c>
    </row>
    <row r="43" spans="1:11" x14ac:dyDescent="0.3">
      <c r="A43" t="s">
        <v>29</v>
      </c>
      <c r="B43" t="s">
        <v>14</v>
      </c>
      <c r="C43" t="s">
        <v>16</v>
      </c>
      <c r="D43" t="s">
        <v>12</v>
      </c>
      <c r="E43" s="4">
        <v>10000</v>
      </c>
      <c r="F43" s="3">
        <v>10035.01</v>
      </c>
      <c r="G43" s="3">
        <f>tblData[[#This Row],[Actual]]-tblData[[#This Row],[Budget]]</f>
        <v>35.010000000000218</v>
      </c>
      <c r="H43" s="1">
        <f>IF(tblData[[#This Row],[Budget]]=0,0,tblData[[#This Row],[Variance]]/tblData[[#This Row],[Budget]])</f>
        <v>3.5010000000000219E-3</v>
      </c>
      <c r="I43" t="str">
        <f>IF(tblData[[#This Row],[Type]]="Revenue",IF(tblData[[#This Row],[Variance]]&gt;=0,"Favourable","Adverse"),IF(tblData[[#This Row],[Variance]]&lt;=0,"Favourable","Adverse"))</f>
        <v>Adverse</v>
      </c>
      <c r="J43" t="str">
        <f>"Q"&amp;ROUNDUP(VALUE(RIGHT(tblData[[#This Row],[Month]],2))/3,0)</f>
        <v>Q1</v>
      </c>
      <c r="K43" t="str">
        <f>_xlfn.XLOOKUP(tblData[[#This Row],[Department]], tblOwners[Department], tblOwners[Budget Owner], "Not found")</f>
        <v>Liam O'Connor</v>
      </c>
    </row>
    <row r="44" spans="1:11" x14ac:dyDescent="0.3">
      <c r="A44" t="s">
        <v>29</v>
      </c>
      <c r="B44" t="s">
        <v>14</v>
      </c>
      <c r="C44" t="s">
        <v>11</v>
      </c>
      <c r="D44" t="s">
        <v>12</v>
      </c>
      <c r="E44" s="4">
        <v>30000</v>
      </c>
      <c r="F44" s="3">
        <v>30196.82</v>
      </c>
      <c r="G44" s="3">
        <f>tblData[[#This Row],[Actual]]-tblData[[#This Row],[Budget]]</f>
        <v>196.81999999999971</v>
      </c>
      <c r="H44" s="1">
        <f>IF(tblData[[#This Row],[Budget]]=0,0,tblData[[#This Row],[Variance]]/tblData[[#This Row],[Budget]])</f>
        <v>6.5606666666666574E-3</v>
      </c>
      <c r="I44" t="str">
        <f>IF(tblData[[#This Row],[Type]]="Revenue",IF(tblData[[#This Row],[Variance]]&gt;=0,"Favourable","Adverse"),IF(tblData[[#This Row],[Variance]]&lt;=0,"Favourable","Adverse"))</f>
        <v>Adverse</v>
      </c>
      <c r="J44" t="str">
        <f>"Q"&amp;ROUNDUP(VALUE(RIGHT(tblData[[#This Row],[Month]],2))/3,0)</f>
        <v>Q1</v>
      </c>
      <c r="K44" t="str">
        <f>_xlfn.XLOOKUP(tblData[[#This Row],[Department]], tblOwners[Department], tblOwners[Budget Owner], "Not found")</f>
        <v>Liam O'Connor</v>
      </c>
    </row>
    <row r="45" spans="1:11" x14ac:dyDescent="0.3">
      <c r="A45" t="s">
        <v>29</v>
      </c>
      <c r="B45" t="s">
        <v>17</v>
      </c>
      <c r="C45" t="s">
        <v>18</v>
      </c>
      <c r="D45" t="s">
        <v>12</v>
      </c>
      <c r="E45" s="4">
        <v>40000</v>
      </c>
      <c r="F45" s="3">
        <v>41045.71</v>
      </c>
      <c r="G45" s="3">
        <f>tblData[[#This Row],[Actual]]-tblData[[#This Row],[Budget]]</f>
        <v>1045.7099999999991</v>
      </c>
      <c r="H45" s="1">
        <f>IF(tblData[[#This Row],[Budget]]=0,0,tblData[[#This Row],[Variance]]/tblData[[#This Row],[Budget]])</f>
        <v>2.6142749999999979E-2</v>
      </c>
      <c r="I45" t="str">
        <f>IF(tblData[[#This Row],[Type]]="Revenue",IF(tblData[[#This Row],[Variance]]&gt;=0,"Favourable","Adverse"),IF(tblData[[#This Row],[Variance]]&lt;=0,"Favourable","Adverse"))</f>
        <v>Adverse</v>
      </c>
      <c r="J45" t="str">
        <f>"Q"&amp;ROUNDUP(VALUE(RIGHT(tblData[[#This Row],[Month]],2))/3,0)</f>
        <v>Q1</v>
      </c>
      <c r="K45" t="str">
        <f>_xlfn.XLOOKUP(tblData[[#This Row],[Department]], tblOwners[Department], tblOwners[Budget Owner], "Not found")</f>
        <v>Siobhan Kelly</v>
      </c>
    </row>
    <row r="46" spans="1:11" x14ac:dyDescent="0.3">
      <c r="A46" t="s">
        <v>29</v>
      </c>
      <c r="B46" t="s">
        <v>17</v>
      </c>
      <c r="C46" t="s">
        <v>19</v>
      </c>
      <c r="D46" t="s">
        <v>12</v>
      </c>
      <c r="E46" s="4">
        <v>55000</v>
      </c>
      <c r="F46" s="3">
        <v>55368.93</v>
      </c>
      <c r="G46" s="3">
        <f>tblData[[#This Row],[Actual]]-tblData[[#This Row],[Budget]]</f>
        <v>368.93000000000029</v>
      </c>
      <c r="H46" s="1">
        <f>IF(tblData[[#This Row],[Budget]]=0,0,tblData[[#This Row],[Variance]]/tblData[[#This Row],[Budget]])</f>
        <v>6.7078181818181872E-3</v>
      </c>
      <c r="I46" t="str">
        <f>IF(tblData[[#This Row],[Type]]="Revenue",IF(tblData[[#This Row],[Variance]]&gt;=0,"Favourable","Adverse"),IF(tblData[[#This Row],[Variance]]&lt;=0,"Favourable","Adverse"))</f>
        <v>Adverse</v>
      </c>
      <c r="J46" t="str">
        <f>"Q"&amp;ROUNDUP(VALUE(RIGHT(tblData[[#This Row],[Month]],2))/3,0)</f>
        <v>Q1</v>
      </c>
      <c r="K46" t="str">
        <f>_xlfn.XLOOKUP(tblData[[#This Row],[Department]], tblOwners[Department], tblOwners[Budget Owner], "Not found")</f>
        <v>Siobhan Kelly</v>
      </c>
    </row>
    <row r="47" spans="1:11" x14ac:dyDescent="0.3">
      <c r="A47" t="s">
        <v>29</v>
      </c>
      <c r="B47" t="s">
        <v>17</v>
      </c>
      <c r="C47" t="s">
        <v>11</v>
      </c>
      <c r="D47" t="s">
        <v>12</v>
      </c>
      <c r="E47" s="4">
        <v>70000</v>
      </c>
      <c r="F47" s="3">
        <v>71425.72</v>
      </c>
      <c r="G47" s="3">
        <f>tblData[[#This Row],[Actual]]-tblData[[#This Row],[Budget]]</f>
        <v>1425.7200000000012</v>
      </c>
      <c r="H47" s="1">
        <f>IF(tblData[[#This Row],[Budget]]=0,0,tblData[[#This Row],[Variance]]/tblData[[#This Row],[Budget]])</f>
        <v>2.0367428571428588E-2</v>
      </c>
      <c r="I47" t="str">
        <f>IF(tblData[[#This Row],[Type]]="Revenue",IF(tblData[[#This Row],[Variance]]&gt;=0,"Favourable","Adverse"),IF(tblData[[#This Row],[Variance]]&lt;=0,"Favourable","Adverse"))</f>
        <v>Adverse</v>
      </c>
      <c r="J47" t="str">
        <f>"Q"&amp;ROUNDUP(VALUE(RIGHT(tblData[[#This Row],[Month]],2))/3,0)</f>
        <v>Q1</v>
      </c>
      <c r="K47" t="str">
        <f>_xlfn.XLOOKUP(tblData[[#This Row],[Department]], tblOwners[Department], tblOwners[Budget Owner], "Not found")</f>
        <v>Siobhan Kelly</v>
      </c>
    </row>
    <row r="48" spans="1:11" x14ac:dyDescent="0.3">
      <c r="A48" t="s">
        <v>29</v>
      </c>
      <c r="B48" t="s">
        <v>20</v>
      </c>
      <c r="C48" t="s">
        <v>21</v>
      </c>
      <c r="D48" t="s">
        <v>12</v>
      </c>
      <c r="E48" s="4">
        <v>18000</v>
      </c>
      <c r="F48" s="3">
        <v>18036.490000000002</v>
      </c>
      <c r="G48" s="3">
        <f>tblData[[#This Row],[Actual]]-tblData[[#This Row],[Budget]]</f>
        <v>36.490000000001601</v>
      </c>
      <c r="H48" s="1">
        <f>IF(tblData[[#This Row],[Budget]]=0,0,tblData[[#This Row],[Variance]]/tblData[[#This Row],[Budget]])</f>
        <v>2.0272222222223113E-3</v>
      </c>
      <c r="I48" t="str">
        <f>IF(tblData[[#This Row],[Type]]="Revenue",IF(tblData[[#This Row],[Variance]]&gt;=0,"Favourable","Adverse"),IF(tblData[[#This Row],[Variance]]&lt;=0,"Favourable","Adverse"))</f>
        <v>Adverse</v>
      </c>
      <c r="J48" t="str">
        <f>"Q"&amp;ROUNDUP(VALUE(RIGHT(tblData[[#This Row],[Month]],2))/3,0)</f>
        <v>Q1</v>
      </c>
      <c r="K48" t="str">
        <f>_xlfn.XLOOKUP(tblData[[#This Row],[Department]], tblOwners[Department], tblOwners[Budget Owner], "Not found")</f>
        <v>Ravi Sharma</v>
      </c>
    </row>
    <row r="49" spans="1:11" x14ac:dyDescent="0.3">
      <c r="A49" t="s">
        <v>29</v>
      </c>
      <c r="B49" t="s">
        <v>20</v>
      </c>
      <c r="C49" t="s">
        <v>22</v>
      </c>
      <c r="D49" t="s">
        <v>12</v>
      </c>
      <c r="E49" s="4">
        <v>8000</v>
      </c>
      <c r="F49" s="3">
        <v>8069.39</v>
      </c>
      <c r="G49" s="3">
        <f>tblData[[#This Row],[Actual]]-tblData[[#This Row],[Budget]]</f>
        <v>69.390000000000327</v>
      </c>
      <c r="H49" s="1">
        <f>IF(tblData[[#This Row],[Budget]]=0,0,tblData[[#This Row],[Variance]]/tblData[[#This Row],[Budget]])</f>
        <v>8.6737500000000408E-3</v>
      </c>
      <c r="I49" t="str">
        <f>IF(tblData[[#This Row],[Type]]="Revenue",IF(tblData[[#This Row],[Variance]]&gt;=0,"Favourable","Adverse"),IF(tblData[[#This Row],[Variance]]&lt;=0,"Favourable","Adverse"))</f>
        <v>Adverse</v>
      </c>
      <c r="J49" t="str">
        <f>"Q"&amp;ROUNDUP(VALUE(RIGHT(tblData[[#This Row],[Month]],2))/3,0)</f>
        <v>Q1</v>
      </c>
      <c r="K49" t="str">
        <f>_xlfn.XLOOKUP(tblData[[#This Row],[Department]], tblOwners[Department], tblOwners[Budget Owner], "Not found")</f>
        <v>Ravi Sharma</v>
      </c>
    </row>
    <row r="50" spans="1:11" x14ac:dyDescent="0.3">
      <c r="A50" t="s">
        <v>29</v>
      </c>
      <c r="B50" t="s">
        <v>20</v>
      </c>
      <c r="C50" t="s">
        <v>11</v>
      </c>
      <c r="D50" t="s">
        <v>12</v>
      </c>
      <c r="E50" s="4">
        <v>35000</v>
      </c>
      <c r="F50" s="3">
        <v>35662.85</v>
      </c>
      <c r="G50" s="3">
        <f>tblData[[#This Row],[Actual]]-tblData[[#This Row],[Budget]]</f>
        <v>662.84999999999854</v>
      </c>
      <c r="H50" s="1">
        <f>IF(tblData[[#This Row],[Budget]]=0,0,tblData[[#This Row],[Variance]]/tblData[[#This Row],[Budget]])</f>
        <v>1.8938571428571388E-2</v>
      </c>
      <c r="I50" t="str">
        <f>IF(tblData[[#This Row],[Type]]="Revenue",IF(tblData[[#This Row],[Variance]]&gt;=0,"Favourable","Adverse"),IF(tblData[[#This Row],[Variance]]&lt;=0,"Favourable","Adverse"))</f>
        <v>Adverse</v>
      </c>
      <c r="J50" t="str">
        <f>"Q"&amp;ROUNDUP(VALUE(RIGHT(tblData[[#This Row],[Month]],2))/3,0)</f>
        <v>Q1</v>
      </c>
      <c r="K50" t="str">
        <f>_xlfn.XLOOKUP(tblData[[#This Row],[Department]], tblOwners[Department], tblOwners[Budget Owner], "Not found")</f>
        <v>Ravi Sharma</v>
      </c>
    </row>
    <row r="51" spans="1:11" x14ac:dyDescent="0.3">
      <c r="A51" t="s">
        <v>29</v>
      </c>
      <c r="B51" t="s">
        <v>23</v>
      </c>
      <c r="C51" t="s">
        <v>24</v>
      </c>
      <c r="D51" t="s">
        <v>12</v>
      </c>
      <c r="E51" s="4">
        <v>6000</v>
      </c>
      <c r="F51" s="3">
        <v>9504.1</v>
      </c>
      <c r="G51" s="3">
        <f>tblData[[#This Row],[Actual]]-tblData[[#This Row],[Budget]]</f>
        <v>3504.1000000000004</v>
      </c>
      <c r="H51" s="1">
        <f>IF(tblData[[#This Row],[Budget]]=0,0,tblData[[#This Row],[Variance]]/tblData[[#This Row],[Budget]])</f>
        <v>0.58401666666666674</v>
      </c>
      <c r="I51" t="str">
        <f>IF(tblData[[#This Row],[Type]]="Revenue",IF(tblData[[#This Row],[Variance]]&gt;=0,"Favourable","Adverse"),IF(tblData[[#This Row],[Variance]]&lt;=0,"Favourable","Adverse"))</f>
        <v>Adverse</v>
      </c>
      <c r="J51" t="str">
        <f>"Q"&amp;ROUNDUP(VALUE(RIGHT(tblData[[#This Row],[Month]],2))/3,0)</f>
        <v>Q1</v>
      </c>
      <c r="K51" t="str">
        <f>_xlfn.XLOOKUP(tblData[[#This Row],[Department]], tblOwners[Department], tblOwners[Budget Owner], "Not found")</f>
        <v>Niamh Walsh</v>
      </c>
    </row>
    <row r="52" spans="1:11" x14ac:dyDescent="0.3">
      <c r="A52" t="s">
        <v>29</v>
      </c>
      <c r="B52" t="s">
        <v>23</v>
      </c>
      <c r="C52" t="s">
        <v>25</v>
      </c>
      <c r="D52" t="s">
        <v>12</v>
      </c>
      <c r="E52" s="4">
        <v>5000</v>
      </c>
      <c r="F52" s="3">
        <v>4929.4399999999996</v>
      </c>
      <c r="G52" s="3">
        <f>tblData[[#This Row],[Actual]]-tblData[[#This Row],[Budget]]</f>
        <v>-70.5600000000004</v>
      </c>
      <c r="H52" s="1">
        <f>IF(tblData[[#This Row],[Budget]]=0,0,tblData[[#This Row],[Variance]]/tblData[[#This Row],[Budget]])</f>
        <v>-1.4112000000000079E-2</v>
      </c>
      <c r="I52" t="str">
        <f>IF(tblData[[#This Row],[Type]]="Revenue",IF(tblData[[#This Row],[Variance]]&gt;=0,"Favourable","Adverse"),IF(tblData[[#This Row],[Variance]]&lt;=0,"Favourable","Adverse"))</f>
        <v>Favourable</v>
      </c>
      <c r="J52" t="str">
        <f>"Q"&amp;ROUNDUP(VALUE(RIGHT(tblData[[#This Row],[Month]],2))/3,0)</f>
        <v>Q1</v>
      </c>
      <c r="K52" t="str">
        <f>_xlfn.XLOOKUP(tblData[[#This Row],[Department]], tblOwners[Department], tblOwners[Budget Owner], "Not found")</f>
        <v>Niamh Walsh</v>
      </c>
    </row>
    <row r="53" spans="1:11" x14ac:dyDescent="0.3">
      <c r="A53" t="s">
        <v>29</v>
      </c>
      <c r="B53" t="s">
        <v>23</v>
      </c>
      <c r="C53" t="s">
        <v>11</v>
      </c>
      <c r="D53" t="s">
        <v>12</v>
      </c>
      <c r="E53" s="4">
        <v>20000</v>
      </c>
      <c r="F53" s="3">
        <v>19616.669999999998</v>
      </c>
      <c r="G53" s="3">
        <f>tblData[[#This Row],[Actual]]-tblData[[#This Row],[Budget]]</f>
        <v>-383.33000000000175</v>
      </c>
      <c r="H53" s="1">
        <f>IF(tblData[[#This Row],[Budget]]=0,0,tblData[[#This Row],[Variance]]/tblData[[#This Row],[Budget]])</f>
        <v>-1.9166500000000086E-2</v>
      </c>
      <c r="I53" t="str">
        <f>IF(tblData[[#This Row],[Type]]="Revenue",IF(tblData[[#This Row],[Variance]]&gt;=0,"Favourable","Adverse"),IF(tblData[[#This Row],[Variance]]&lt;=0,"Favourable","Adverse"))</f>
        <v>Favourable</v>
      </c>
      <c r="J53" t="str">
        <f>"Q"&amp;ROUNDUP(VALUE(RIGHT(tblData[[#This Row],[Month]],2))/3,0)</f>
        <v>Q1</v>
      </c>
      <c r="K53" t="str">
        <f>_xlfn.XLOOKUP(tblData[[#This Row],[Department]], tblOwners[Department], tblOwners[Budget Owner], "Not found")</f>
        <v>Niamh Walsh</v>
      </c>
    </row>
    <row r="54" spans="1:11" x14ac:dyDescent="0.3">
      <c r="A54" t="s">
        <v>29</v>
      </c>
      <c r="B54" t="s">
        <v>26</v>
      </c>
      <c r="C54" t="s">
        <v>27</v>
      </c>
      <c r="D54" t="s">
        <v>12</v>
      </c>
      <c r="E54" s="4">
        <v>7000</v>
      </c>
      <c r="F54" s="3">
        <v>6942.22</v>
      </c>
      <c r="G54" s="3">
        <f>tblData[[#This Row],[Actual]]-tblData[[#This Row],[Budget]]</f>
        <v>-57.779999999999745</v>
      </c>
      <c r="H54" s="1">
        <f>IF(tblData[[#This Row],[Budget]]=0,0,tblData[[#This Row],[Variance]]/tblData[[#This Row],[Budget]])</f>
        <v>-8.2542857142856776E-3</v>
      </c>
      <c r="I54" t="str">
        <f>IF(tblData[[#This Row],[Type]]="Revenue",IF(tblData[[#This Row],[Variance]]&gt;=0,"Favourable","Adverse"),IF(tblData[[#This Row],[Variance]]&lt;=0,"Favourable","Adverse"))</f>
        <v>Favourable</v>
      </c>
      <c r="J54" t="str">
        <f>"Q"&amp;ROUNDUP(VALUE(RIGHT(tblData[[#This Row],[Month]],2))/3,0)</f>
        <v>Q1</v>
      </c>
      <c r="K54" t="str">
        <f>_xlfn.XLOOKUP(tblData[[#This Row],[Department]], tblOwners[Department], tblOwners[Budget Owner], "Not found")</f>
        <v>Conor Murphy</v>
      </c>
    </row>
    <row r="55" spans="1:11" x14ac:dyDescent="0.3">
      <c r="A55" t="s">
        <v>29</v>
      </c>
      <c r="B55" t="s">
        <v>26</v>
      </c>
      <c r="C55" t="s">
        <v>11</v>
      </c>
      <c r="D55" t="s">
        <v>12</v>
      </c>
      <c r="E55" s="4">
        <v>25000</v>
      </c>
      <c r="F55" s="3">
        <v>26121.21</v>
      </c>
      <c r="G55" s="3">
        <f>tblData[[#This Row],[Actual]]-tblData[[#This Row],[Budget]]</f>
        <v>1121.2099999999991</v>
      </c>
      <c r="H55" s="1">
        <f>IF(tblData[[#This Row],[Budget]]=0,0,tblData[[#This Row],[Variance]]/tblData[[#This Row],[Budget]])</f>
        <v>4.4848399999999962E-2</v>
      </c>
      <c r="I55" t="str">
        <f>IF(tblData[[#This Row],[Type]]="Revenue",IF(tblData[[#This Row],[Variance]]&gt;=0,"Favourable","Adverse"),IF(tblData[[#This Row],[Variance]]&lt;=0,"Favourable","Adverse"))</f>
        <v>Adverse</v>
      </c>
      <c r="J55" t="str">
        <f>"Q"&amp;ROUNDUP(VALUE(RIGHT(tblData[[#This Row],[Month]],2))/3,0)</f>
        <v>Q1</v>
      </c>
      <c r="K55" t="str">
        <f>_xlfn.XLOOKUP(tblData[[#This Row],[Department]], tblOwners[Department], tblOwners[Budget Owner], "Not found")</f>
        <v>Conor Murphy</v>
      </c>
    </row>
    <row r="56" spans="1:11" x14ac:dyDescent="0.3">
      <c r="A56" t="s">
        <v>30</v>
      </c>
      <c r="B56" t="s">
        <v>7</v>
      </c>
      <c r="C56" t="s">
        <v>8</v>
      </c>
      <c r="D56" t="s">
        <v>9</v>
      </c>
      <c r="E56" s="4">
        <v>399000</v>
      </c>
      <c r="F56" s="3">
        <v>358846.86</v>
      </c>
      <c r="G56" s="3">
        <f>tblData[[#This Row],[Actual]]-tblData[[#This Row],[Budget]]</f>
        <v>-40153.140000000014</v>
      </c>
      <c r="H56" s="1">
        <f>IF(tblData[[#This Row],[Budget]]=0,0,tblData[[#This Row],[Variance]]/tblData[[#This Row],[Budget]])</f>
        <v>-0.1006344360902256</v>
      </c>
      <c r="I56" t="str">
        <f>IF(tblData[[#This Row],[Type]]="Revenue",IF(tblData[[#This Row],[Variance]]&gt;=0,"Favourable","Adverse"),IF(tblData[[#This Row],[Variance]]&lt;=0,"Favourable","Adverse"))</f>
        <v>Adverse</v>
      </c>
      <c r="J56" t="str">
        <f>"Q"&amp;ROUNDUP(VALUE(RIGHT(tblData[[#This Row],[Month]],2))/3,0)</f>
        <v>Q2</v>
      </c>
      <c r="K56" t="str">
        <f>_xlfn.XLOOKUP(tblData[[#This Row],[Department]], tblOwners[Department], tblOwners[Budget Owner], "Not found")</f>
        <v>Aoife Byrne</v>
      </c>
    </row>
    <row r="57" spans="1:11" x14ac:dyDescent="0.3">
      <c r="A57" t="s">
        <v>30</v>
      </c>
      <c r="B57" t="s">
        <v>7</v>
      </c>
      <c r="C57" t="s">
        <v>10</v>
      </c>
      <c r="D57" t="s">
        <v>9</v>
      </c>
      <c r="E57" s="4">
        <v>57000</v>
      </c>
      <c r="F57" s="3">
        <v>54122.29</v>
      </c>
      <c r="G57" s="3">
        <f>tblData[[#This Row],[Actual]]-tblData[[#This Row],[Budget]]</f>
        <v>-2877.7099999999991</v>
      </c>
      <c r="H57" s="1">
        <f>IF(tblData[[#This Row],[Budget]]=0,0,tblData[[#This Row],[Variance]]/tblData[[#This Row],[Budget]])</f>
        <v>-5.048614035087718E-2</v>
      </c>
      <c r="I57" t="str">
        <f>IF(tblData[[#This Row],[Type]]="Revenue",IF(tblData[[#This Row],[Variance]]&gt;=0,"Favourable","Adverse"),IF(tblData[[#This Row],[Variance]]&lt;=0,"Favourable","Adverse"))</f>
        <v>Adverse</v>
      </c>
      <c r="J57" t="str">
        <f>"Q"&amp;ROUNDUP(VALUE(RIGHT(tblData[[#This Row],[Month]],2))/3,0)</f>
        <v>Q2</v>
      </c>
      <c r="K57" t="str">
        <f>_xlfn.XLOOKUP(tblData[[#This Row],[Department]], tblOwners[Department], tblOwners[Budget Owner], "Not found")</f>
        <v>Aoife Byrne</v>
      </c>
    </row>
    <row r="58" spans="1:11" x14ac:dyDescent="0.3">
      <c r="A58" t="s">
        <v>30</v>
      </c>
      <c r="B58" t="s">
        <v>7</v>
      </c>
      <c r="C58" t="s">
        <v>11</v>
      </c>
      <c r="D58" t="s">
        <v>12</v>
      </c>
      <c r="E58" s="4">
        <v>85000</v>
      </c>
      <c r="F58" s="3">
        <v>84146.04</v>
      </c>
      <c r="G58" s="3">
        <f>tblData[[#This Row],[Actual]]-tblData[[#This Row],[Budget]]</f>
        <v>-853.9600000000064</v>
      </c>
      <c r="H58" s="1">
        <f>IF(tblData[[#This Row],[Budget]]=0,0,tblData[[#This Row],[Variance]]/tblData[[#This Row],[Budget]])</f>
        <v>-1.0046588235294193E-2</v>
      </c>
      <c r="I58" t="str">
        <f>IF(tblData[[#This Row],[Type]]="Revenue",IF(tblData[[#This Row],[Variance]]&gt;=0,"Favourable","Adverse"),IF(tblData[[#This Row],[Variance]]&lt;=0,"Favourable","Adverse"))</f>
        <v>Favourable</v>
      </c>
      <c r="J58" t="str">
        <f>"Q"&amp;ROUNDUP(VALUE(RIGHT(tblData[[#This Row],[Month]],2))/3,0)</f>
        <v>Q2</v>
      </c>
      <c r="K58" t="str">
        <f>_xlfn.XLOOKUP(tblData[[#This Row],[Department]], tblOwners[Department], tblOwners[Budget Owner], "Not found")</f>
        <v>Aoife Byrne</v>
      </c>
    </row>
    <row r="59" spans="1:11" x14ac:dyDescent="0.3">
      <c r="A59" t="s">
        <v>30</v>
      </c>
      <c r="B59" t="s">
        <v>7</v>
      </c>
      <c r="C59" t="s">
        <v>13</v>
      </c>
      <c r="D59" t="s">
        <v>12</v>
      </c>
      <c r="E59" s="4">
        <v>12000</v>
      </c>
      <c r="F59" s="3">
        <v>9351.73</v>
      </c>
      <c r="G59" s="3">
        <f>tblData[[#This Row],[Actual]]-tblData[[#This Row],[Budget]]</f>
        <v>-2648.2700000000004</v>
      </c>
      <c r="H59" s="1">
        <f>IF(tblData[[#This Row],[Budget]]=0,0,tblData[[#This Row],[Variance]]/tblData[[#This Row],[Budget]])</f>
        <v>-0.22068916666666671</v>
      </c>
      <c r="I59" t="str">
        <f>IF(tblData[[#This Row],[Type]]="Revenue",IF(tblData[[#This Row],[Variance]]&gt;=0,"Favourable","Adverse"),IF(tblData[[#This Row],[Variance]]&lt;=0,"Favourable","Adverse"))</f>
        <v>Favourable</v>
      </c>
      <c r="J59" t="str">
        <f>"Q"&amp;ROUNDUP(VALUE(RIGHT(tblData[[#This Row],[Month]],2))/3,0)</f>
        <v>Q2</v>
      </c>
      <c r="K59" t="str">
        <f>_xlfn.XLOOKUP(tblData[[#This Row],[Department]], tblOwners[Department], tblOwners[Budget Owner], "Not found")</f>
        <v>Aoife Byrne</v>
      </c>
    </row>
    <row r="60" spans="1:11" x14ac:dyDescent="0.3">
      <c r="A60" t="s">
        <v>30</v>
      </c>
      <c r="B60" t="s">
        <v>14</v>
      </c>
      <c r="C60" t="s">
        <v>15</v>
      </c>
      <c r="D60" t="s">
        <v>12</v>
      </c>
      <c r="E60" s="4">
        <v>45000</v>
      </c>
      <c r="F60" s="3">
        <v>45960.160000000003</v>
      </c>
      <c r="G60" s="3">
        <f>tblData[[#This Row],[Actual]]-tblData[[#This Row],[Budget]]</f>
        <v>960.16000000000349</v>
      </c>
      <c r="H60" s="1">
        <f>IF(tblData[[#This Row],[Budget]]=0,0,tblData[[#This Row],[Variance]]/tblData[[#This Row],[Budget]])</f>
        <v>2.1336888888888968E-2</v>
      </c>
      <c r="I60" t="str">
        <f>IF(tblData[[#This Row],[Type]]="Revenue",IF(tblData[[#This Row],[Variance]]&gt;=0,"Favourable","Adverse"),IF(tblData[[#This Row],[Variance]]&lt;=0,"Favourable","Adverse"))</f>
        <v>Adverse</v>
      </c>
      <c r="J60" t="str">
        <f>"Q"&amp;ROUNDUP(VALUE(RIGHT(tblData[[#This Row],[Month]],2))/3,0)</f>
        <v>Q2</v>
      </c>
      <c r="K60" t="str">
        <f>_xlfn.XLOOKUP(tblData[[#This Row],[Department]], tblOwners[Department], tblOwners[Budget Owner], "Not found")</f>
        <v>Liam O'Connor</v>
      </c>
    </row>
    <row r="61" spans="1:11" x14ac:dyDescent="0.3">
      <c r="A61" t="s">
        <v>30</v>
      </c>
      <c r="B61" t="s">
        <v>14</v>
      </c>
      <c r="C61" t="s">
        <v>16</v>
      </c>
      <c r="D61" t="s">
        <v>12</v>
      </c>
      <c r="E61" s="4">
        <v>10000</v>
      </c>
      <c r="F61" s="3">
        <v>10238</v>
      </c>
      <c r="G61" s="3">
        <f>tblData[[#This Row],[Actual]]-tblData[[#This Row],[Budget]]</f>
        <v>238</v>
      </c>
      <c r="H61" s="1">
        <f>IF(tblData[[#This Row],[Budget]]=0,0,tblData[[#This Row],[Variance]]/tblData[[#This Row],[Budget]])</f>
        <v>2.3800000000000002E-2</v>
      </c>
      <c r="I61" t="str">
        <f>IF(tblData[[#This Row],[Type]]="Revenue",IF(tblData[[#This Row],[Variance]]&gt;=0,"Favourable","Adverse"),IF(tblData[[#This Row],[Variance]]&lt;=0,"Favourable","Adverse"))</f>
        <v>Adverse</v>
      </c>
      <c r="J61" t="str">
        <f>"Q"&amp;ROUNDUP(VALUE(RIGHT(tblData[[#This Row],[Month]],2))/3,0)</f>
        <v>Q2</v>
      </c>
      <c r="K61" t="str">
        <f>_xlfn.XLOOKUP(tblData[[#This Row],[Department]], tblOwners[Department], tblOwners[Budget Owner], "Not found")</f>
        <v>Liam O'Connor</v>
      </c>
    </row>
    <row r="62" spans="1:11" x14ac:dyDescent="0.3">
      <c r="A62" t="s">
        <v>30</v>
      </c>
      <c r="B62" t="s">
        <v>14</v>
      </c>
      <c r="C62" t="s">
        <v>11</v>
      </c>
      <c r="D62" t="s">
        <v>12</v>
      </c>
      <c r="E62" s="4">
        <v>30000</v>
      </c>
      <c r="F62" s="3">
        <v>29686.15</v>
      </c>
      <c r="G62" s="3">
        <f>tblData[[#This Row],[Actual]]-tblData[[#This Row],[Budget]]</f>
        <v>-313.84999999999854</v>
      </c>
      <c r="H62" s="1">
        <f>IF(tblData[[#This Row],[Budget]]=0,0,tblData[[#This Row],[Variance]]/tblData[[#This Row],[Budget]])</f>
        <v>-1.0461666666666617E-2</v>
      </c>
      <c r="I62" t="str">
        <f>IF(tblData[[#This Row],[Type]]="Revenue",IF(tblData[[#This Row],[Variance]]&gt;=0,"Favourable","Adverse"),IF(tblData[[#This Row],[Variance]]&lt;=0,"Favourable","Adverse"))</f>
        <v>Favourable</v>
      </c>
      <c r="J62" t="str">
        <f>"Q"&amp;ROUNDUP(VALUE(RIGHT(tblData[[#This Row],[Month]],2))/3,0)</f>
        <v>Q2</v>
      </c>
      <c r="K62" t="str">
        <f>_xlfn.XLOOKUP(tblData[[#This Row],[Department]], tblOwners[Department], tblOwners[Budget Owner], "Not found")</f>
        <v>Liam O'Connor</v>
      </c>
    </row>
    <row r="63" spans="1:11" x14ac:dyDescent="0.3">
      <c r="A63" t="s">
        <v>30</v>
      </c>
      <c r="B63" t="s">
        <v>17</v>
      </c>
      <c r="C63" t="s">
        <v>18</v>
      </c>
      <c r="D63" t="s">
        <v>12</v>
      </c>
      <c r="E63" s="4">
        <v>40000</v>
      </c>
      <c r="F63" s="3">
        <v>39445.18</v>
      </c>
      <c r="G63" s="3">
        <f>tblData[[#This Row],[Actual]]-tblData[[#This Row],[Budget]]</f>
        <v>-554.81999999999971</v>
      </c>
      <c r="H63" s="1">
        <f>IF(tblData[[#This Row],[Budget]]=0,0,tblData[[#This Row],[Variance]]/tblData[[#This Row],[Budget]])</f>
        <v>-1.3870499999999992E-2</v>
      </c>
      <c r="I63" t="str">
        <f>IF(tblData[[#This Row],[Type]]="Revenue",IF(tblData[[#This Row],[Variance]]&gt;=0,"Favourable","Adverse"),IF(tblData[[#This Row],[Variance]]&lt;=0,"Favourable","Adverse"))</f>
        <v>Favourable</v>
      </c>
      <c r="J63" t="str">
        <f>"Q"&amp;ROUNDUP(VALUE(RIGHT(tblData[[#This Row],[Month]],2))/3,0)</f>
        <v>Q2</v>
      </c>
      <c r="K63" t="str">
        <f>_xlfn.XLOOKUP(tblData[[#This Row],[Department]], tblOwners[Department], tblOwners[Budget Owner], "Not found")</f>
        <v>Siobhan Kelly</v>
      </c>
    </row>
    <row r="64" spans="1:11" x14ac:dyDescent="0.3">
      <c r="A64" t="s">
        <v>30</v>
      </c>
      <c r="B64" t="s">
        <v>17</v>
      </c>
      <c r="C64" t="s">
        <v>19</v>
      </c>
      <c r="D64" t="s">
        <v>12</v>
      </c>
      <c r="E64" s="4">
        <v>55000</v>
      </c>
      <c r="F64" s="3">
        <v>56415.66</v>
      </c>
      <c r="G64" s="3">
        <f>tblData[[#This Row],[Actual]]-tblData[[#This Row],[Budget]]</f>
        <v>1415.6600000000035</v>
      </c>
      <c r="H64" s="1">
        <f>IF(tblData[[#This Row],[Budget]]=0,0,tblData[[#This Row],[Variance]]/tblData[[#This Row],[Budget]])</f>
        <v>2.5739272727272791E-2</v>
      </c>
      <c r="I64" t="str">
        <f>IF(tblData[[#This Row],[Type]]="Revenue",IF(tblData[[#This Row],[Variance]]&gt;=0,"Favourable","Adverse"),IF(tblData[[#This Row],[Variance]]&lt;=0,"Favourable","Adverse"))</f>
        <v>Adverse</v>
      </c>
      <c r="J64" t="str">
        <f>"Q"&amp;ROUNDUP(VALUE(RIGHT(tblData[[#This Row],[Month]],2))/3,0)</f>
        <v>Q2</v>
      </c>
      <c r="K64" t="str">
        <f>_xlfn.XLOOKUP(tblData[[#This Row],[Department]], tblOwners[Department], tblOwners[Budget Owner], "Not found")</f>
        <v>Siobhan Kelly</v>
      </c>
    </row>
    <row r="65" spans="1:11" x14ac:dyDescent="0.3">
      <c r="A65" t="s">
        <v>30</v>
      </c>
      <c r="B65" t="s">
        <v>17</v>
      </c>
      <c r="C65" t="s">
        <v>11</v>
      </c>
      <c r="D65" t="s">
        <v>12</v>
      </c>
      <c r="E65" s="4">
        <v>70000</v>
      </c>
      <c r="F65" s="3">
        <v>69598.259999999995</v>
      </c>
      <c r="G65" s="3">
        <f>tblData[[#This Row],[Actual]]-tblData[[#This Row],[Budget]]</f>
        <v>-401.74000000000524</v>
      </c>
      <c r="H65" s="1">
        <f>IF(tblData[[#This Row],[Budget]]=0,0,tblData[[#This Row],[Variance]]/tblData[[#This Row],[Budget]])</f>
        <v>-5.7391428571429322E-3</v>
      </c>
      <c r="I65" t="str">
        <f>IF(tblData[[#This Row],[Type]]="Revenue",IF(tblData[[#This Row],[Variance]]&gt;=0,"Favourable","Adverse"),IF(tblData[[#This Row],[Variance]]&lt;=0,"Favourable","Adverse"))</f>
        <v>Favourable</v>
      </c>
      <c r="J65" t="str">
        <f>"Q"&amp;ROUNDUP(VALUE(RIGHT(tblData[[#This Row],[Month]],2))/3,0)</f>
        <v>Q2</v>
      </c>
      <c r="K65" t="str">
        <f>_xlfn.XLOOKUP(tblData[[#This Row],[Department]], tblOwners[Department], tblOwners[Budget Owner], "Not found")</f>
        <v>Siobhan Kelly</v>
      </c>
    </row>
    <row r="66" spans="1:11" x14ac:dyDescent="0.3">
      <c r="A66" t="s">
        <v>30</v>
      </c>
      <c r="B66" t="s">
        <v>20</v>
      </c>
      <c r="C66" t="s">
        <v>21</v>
      </c>
      <c r="D66" t="s">
        <v>12</v>
      </c>
      <c r="E66" s="4">
        <v>18000</v>
      </c>
      <c r="F66" s="3">
        <v>17311.13</v>
      </c>
      <c r="G66" s="3">
        <f>tblData[[#This Row],[Actual]]-tblData[[#This Row],[Budget]]</f>
        <v>-688.86999999999898</v>
      </c>
      <c r="H66" s="1">
        <f>IF(tblData[[#This Row],[Budget]]=0,0,tblData[[#This Row],[Variance]]/tblData[[#This Row],[Budget]])</f>
        <v>-3.8270555555555502E-2</v>
      </c>
      <c r="I66" t="str">
        <f>IF(tblData[[#This Row],[Type]]="Revenue",IF(tblData[[#This Row],[Variance]]&gt;=0,"Favourable","Adverse"),IF(tblData[[#This Row],[Variance]]&lt;=0,"Favourable","Adverse"))</f>
        <v>Favourable</v>
      </c>
      <c r="J66" t="str">
        <f>"Q"&amp;ROUNDUP(VALUE(RIGHT(tblData[[#This Row],[Month]],2))/3,0)</f>
        <v>Q2</v>
      </c>
      <c r="K66" t="str">
        <f>_xlfn.XLOOKUP(tblData[[#This Row],[Department]], tblOwners[Department], tblOwners[Budget Owner], "Not found")</f>
        <v>Ravi Sharma</v>
      </c>
    </row>
    <row r="67" spans="1:11" x14ac:dyDescent="0.3">
      <c r="A67" t="s">
        <v>30</v>
      </c>
      <c r="B67" t="s">
        <v>20</v>
      </c>
      <c r="C67" t="s">
        <v>22</v>
      </c>
      <c r="D67" t="s">
        <v>12</v>
      </c>
      <c r="E67" s="4">
        <v>8000</v>
      </c>
      <c r="F67" s="3">
        <v>7728.01</v>
      </c>
      <c r="G67" s="3">
        <f>tblData[[#This Row],[Actual]]-tblData[[#This Row],[Budget]]</f>
        <v>-271.98999999999978</v>
      </c>
      <c r="H67" s="1">
        <f>IF(tblData[[#This Row],[Budget]]=0,0,tblData[[#This Row],[Variance]]/tblData[[#This Row],[Budget]])</f>
        <v>-3.3998749999999973E-2</v>
      </c>
      <c r="I67" t="str">
        <f>IF(tblData[[#This Row],[Type]]="Revenue",IF(tblData[[#This Row],[Variance]]&gt;=0,"Favourable","Adverse"),IF(tblData[[#This Row],[Variance]]&lt;=0,"Favourable","Adverse"))</f>
        <v>Favourable</v>
      </c>
      <c r="J67" t="str">
        <f>"Q"&amp;ROUNDUP(VALUE(RIGHT(tblData[[#This Row],[Month]],2))/3,0)</f>
        <v>Q2</v>
      </c>
      <c r="K67" t="str">
        <f>_xlfn.XLOOKUP(tblData[[#This Row],[Department]], tblOwners[Department], tblOwners[Budget Owner], "Not found")</f>
        <v>Ravi Sharma</v>
      </c>
    </row>
    <row r="68" spans="1:11" x14ac:dyDescent="0.3">
      <c r="A68" t="s">
        <v>30</v>
      </c>
      <c r="B68" t="s">
        <v>20</v>
      </c>
      <c r="C68" t="s">
        <v>11</v>
      </c>
      <c r="D68" t="s">
        <v>12</v>
      </c>
      <c r="E68" s="4">
        <v>35000</v>
      </c>
      <c r="F68" s="3">
        <v>34034.58</v>
      </c>
      <c r="G68" s="3">
        <f>tblData[[#This Row],[Actual]]-tblData[[#This Row],[Budget]]</f>
        <v>-965.41999999999825</v>
      </c>
      <c r="H68" s="1">
        <f>IF(tblData[[#This Row],[Budget]]=0,0,tblData[[#This Row],[Variance]]/tblData[[#This Row],[Budget]])</f>
        <v>-2.7583428571428523E-2</v>
      </c>
      <c r="I68" t="str">
        <f>IF(tblData[[#This Row],[Type]]="Revenue",IF(tblData[[#This Row],[Variance]]&gt;=0,"Favourable","Adverse"),IF(tblData[[#This Row],[Variance]]&lt;=0,"Favourable","Adverse"))</f>
        <v>Favourable</v>
      </c>
      <c r="J68" t="str">
        <f>"Q"&amp;ROUNDUP(VALUE(RIGHT(tblData[[#This Row],[Month]],2))/3,0)</f>
        <v>Q2</v>
      </c>
      <c r="K68" t="str">
        <f>_xlfn.XLOOKUP(tblData[[#This Row],[Department]], tblOwners[Department], tblOwners[Budget Owner], "Not found")</f>
        <v>Ravi Sharma</v>
      </c>
    </row>
    <row r="69" spans="1:11" x14ac:dyDescent="0.3">
      <c r="A69" t="s">
        <v>30</v>
      </c>
      <c r="B69" t="s">
        <v>23</v>
      </c>
      <c r="C69" t="s">
        <v>24</v>
      </c>
      <c r="D69" t="s">
        <v>12</v>
      </c>
      <c r="E69" s="4">
        <v>6000</v>
      </c>
      <c r="F69" s="3">
        <v>6089.49</v>
      </c>
      <c r="G69" s="3">
        <f>tblData[[#This Row],[Actual]]-tblData[[#This Row],[Budget]]</f>
        <v>89.489999999999782</v>
      </c>
      <c r="H69" s="1">
        <f>IF(tblData[[#This Row],[Budget]]=0,0,tblData[[#This Row],[Variance]]/tblData[[#This Row],[Budget]])</f>
        <v>1.4914999999999963E-2</v>
      </c>
      <c r="I69" t="str">
        <f>IF(tblData[[#This Row],[Type]]="Revenue",IF(tblData[[#This Row],[Variance]]&gt;=0,"Favourable","Adverse"),IF(tblData[[#This Row],[Variance]]&lt;=0,"Favourable","Adverse"))</f>
        <v>Adverse</v>
      </c>
      <c r="J69" t="str">
        <f>"Q"&amp;ROUNDUP(VALUE(RIGHT(tblData[[#This Row],[Month]],2))/3,0)</f>
        <v>Q2</v>
      </c>
      <c r="K69" t="str">
        <f>_xlfn.XLOOKUP(tblData[[#This Row],[Department]], tblOwners[Department], tblOwners[Budget Owner], "Not found")</f>
        <v>Niamh Walsh</v>
      </c>
    </row>
    <row r="70" spans="1:11" x14ac:dyDescent="0.3">
      <c r="A70" t="s">
        <v>30</v>
      </c>
      <c r="B70" t="s">
        <v>23</v>
      </c>
      <c r="C70" t="s">
        <v>25</v>
      </c>
      <c r="D70" t="s">
        <v>12</v>
      </c>
      <c r="E70" s="4">
        <v>5000</v>
      </c>
      <c r="F70" s="3">
        <v>5021.3599999999997</v>
      </c>
      <c r="G70" s="3">
        <f>tblData[[#This Row],[Actual]]-tblData[[#This Row],[Budget]]</f>
        <v>21.359999999999673</v>
      </c>
      <c r="H70" s="1">
        <f>IF(tblData[[#This Row],[Budget]]=0,0,tblData[[#This Row],[Variance]]/tblData[[#This Row],[Budget]])</f>
        <v>4.2719999999999347E-3</v>
      </c>
      <c r="I70" t="str">
        <f>IF(tblData[[#This Row],[Type]]="Revenue",IF(tblData[[#This Row],[Variance]]&gt;=0,"Favourable","Adverse"),IF(tblData[[#This Row],[Variance]]&lt;=0,"Favourable","Adverse"))</f>
        <v>Adverse</v>
      </c>
      <c r="J70" t="str">
        <f>"Q"&amp;ROUNDUP(VALUE(RIGHT(tblData[[#This Row],[Month]],2))/3,0)</f>
        <v>Q2</v>
      </c>
      <c r="K70" t="str">
        <f>_xlfn.XLOOKUP(tblData[[#This Row],[Department]], tblOwners[Department], tblOwners[Budget Owner], "Not found")</f>
        <v>Niamh Walsh</v>
      </c>
    </row>
    <row r="71" spans="1:11" x14ac:dyDescent="0.3">
      <c r="A71" t="s">
        <v>30</v>
      </c>
      <c r="B71" t="s">
        <v>23</v>
      </c>
      <c r="C71" t="s">
        <v>11</v>
      </c>
      <c r="D71" t="s">
        <v>12</v>
      </c>
      <c r="E71" s="4">
        <v>20000</v>
      </c>
      <c r="F71" s="3">
        <v>20414.29</v>
      </c>
      <c r="G71" s="3">
        <f>tblData[[#This Row],[Actual]]-tblData[[#This Row],[Budget]]</f>
        <v>414.29000000000087</v>
      </c>
      <c r="H71" s="1">
        <f>IF(tblData[[#This Row],[Budget]]=0,0,tblData[[#This Row],[Variance]]/tblData[[#This Row],[Budget]])</f>
        <v>2.0714500000000045E-2</v>
      </c>
      <c r="I71" t="str">
        <f>IF(tblData[[#This Row],[Type]]="Revenue",IF(tblData[[#This Row],[Variance]]&gt;=0,"Favourable","Adverse"),IF(tblData[[#This Row],[Variance]]&lt;=0,"Favourable","Adverse"))</f>
        <v>Adverse</v>
      </c>
      <c r="J71" t="str">
        <f>"Q"&amp;ROUNDUP(VALUE(RIGHT(tblData[[#This Row],[Month]],2))/3,0)</f>
        <v>Q2</v>
      </c>
      <c r="K71" t="str">
        <f>_xlfn.XLOOKUP(tblData[[#This Row],[Department]], tblOwners[Department], tblOwners[Budget Owner], "Not found")</f>
        <v>Niamh Walsh</v>
      </c>
    </row>
    <row r="72" spans="1:11" x14ac:dyDescent="0.3">
      <c r="A72" t="s">
        <v>30</v>
      </c>
      <c r="B72" t="s">
        <v>26</v>
      </c>
      <c r="C72" t="s">
        <v>27</v>
      </c>
      <c r="D72" t="s">
        <v>12</v>
      </c>
      <c r="E72" s="4">
        <v>7000</v>
      </c>
      <c r="F72" s="3">
        <v>6910.28</v>
      </c>
      <c r="G72" s="3">
        <f>tblData[[#This Row],[Actual]]-tblData[[#This Row],[Budget]]</f>
        <v>-89.720000000000255</v>
      </c>
      <c r="H72" s="1">
        <f>IF(tblData[[#This Row],[Budget]]=0,0,tblData[[#This Row],[Variance]]/tblData[[#This Row],[Budget]])</f>
        <v>-1.2817142857142893E-2</v>
      </c>
      <c r="I72" t="str">
        <f>IF(tblData[[#This Row],[Type]]="Revenue",IF(tblData[[#This Row],[Variance]]&gt;=0,"Favourable","Adverse"),IF(tblData[[#This Row],[Variance]]&lt;=0,"Favourable","Adverse"))</f>
        <v>Favourable</v>
      </c>
      <c r="J72" t="str">
        <f>"Q"&amp;ROUNDUP(VALUE(RIGHT(tblData[[#This Row],[Month]],2))/3,0)</f>
        <v>Q2</v>
      </c>
      <c r="K72" t="str">
        <f>_xlfn.XLOOKUP(tblData[[#This Row],[Department]], tblOwners[Department], tblOwners[Budget Owner], "Not found")</f>
        <v>Conor Murphy</v>
      </c>
    </row>
    <row r="73" spans="1:11" x14ac:dyDescent="0.3">
      <c r="A73" t="s">
        <v>30</v>
      </c>
      <c r="B73" t="s">
        <v>26</v>
      </c>
      <c r="C73" t="s">
        <v>11</v>
      </c>
      <c r="D73" t="s">
        <v>12</v>
      </c>
      <c r="E73" s="4">
        <v>25000</v>
      </c>
      <c r="F73" s="3">
        <v>25118.9</v>
      </c>
      <c r="G73" s="3">
        <f>tblData[[#This Row],[Actual]]-tblData[[#This Row],[Budget]]</f>
        <v>118.90000000000146</v>
      </c>
      <c r="H73" s="1">
        <f>IF(tblData[[#This Row],[Budget]]=0,0,tblData[[#This Row],[Variance]]/tblData[[#This Row],[Budget]])</f>
        <v>4.7560000000000579E-3</v>
      </c>
      <c r="I73" t="str">
        <f>IF(tblData[[#This Row],[Type]]="Revenue",IF(tblData[[#This Row],[Variance]]&gt;=0,"Favourable","Adverse"),IF(tblData[[#This Row],[Variance]]&lt;=0,"Favourable","Adverse"))</f>
        <v>Adverse</v>
      </c>
      <c r="J73" t="str">
        <f>"Q"&amp;ROUNDUP(VALUE(RIGHT(tblData[[#This Row],[Month]],2))/3,0)</f>
        <v>Q2</v>
      </c>
      <c r="K73" t="str">
        <f>_xlfn.XLOOKUP(tblData[[#This Row],[Department]], tblOwners[Department], tblOwners[Budget Owner], "Not found")</f>
        <v>Conor Murphy</v>
      </c>
    </row>
    <row r="74" spans="1:11" x14ac:dyDescent="0.3">
      <c r="A74" t="s">
        <v>31</v>
      </c>
      <c r="B74" t="s">
        <v>7</v>
      </c>
      <c r="C74" t="s">
        <v>8</v>
      </c>
      <c r="D74" t="s">
        <v>9</v>
      </c>
      <c r="E74" s="4">
        <v>420000</v>
      </c>
      <c r="F74" s="3">
        <v>367001.49</v>
      </c>
      <c r="G74" s="3">
        <f>tblData[[#This Row],[Actual]]-tblData[[#This Row],[Budget]]</f>
        <v>-52998.510000000009</v>
      </c>
      <c r="H74" s="1">
        <f>IF(tblData[[#This Row],[Budget]]=0,0,tblData[[#This Row],[Variance]]/tblData[[#This Row],[Budget]])</f>
        <v>-0.1261869285714286</v>
      </c>
      <c r="I74" t="str">
        <f>IF(tblData[[#This Row],[Type]]="Revenue",IF(tblData[[#This Row],[Variance]]&gt;=0,"Favourable","Adverse"),IF(tblData[[#This Row],[Variance]]&lt;=0,"Favourable","Adverse"))</f>
        <v>Adverse</v>
      </c>
      <c r="J74" t="str">
        <f>"Q"&amp;ROUNDUP(VALUE(RIGHT(tblData[[#This Row],[Month]],2))/3,0)</f>
        <v>Q2</v>
      </c>
      <c r="K74" t="str">
        <f>_xlfn.XLOOKUP(tblData[[#This Row],[Department]], tblOwners[Department], tblOwners[Budget Owner], "Not found")</f>
        <v>Aoife Byrne</v>
      </c>
    </row>
    <row r="75" spans="1:11" x14ac:dyDescent="0.3">
      <c r="A75" t="s">
        <v>31</v>
      </c>
      <c r="B75" t="s">
        <v>7</v>
      </c>
      <c r="C75" t="s">
        <v>10</v>
      </c>
      <c r="D75" t="s">
        <v>9</v>
      </c>
      <c r="E75" s="4">
        <v>60000</v>
      </c>
      <c r="F75" s="3">
        <v>60822.2</v>
      </c>
      <c r="G75" s="3">
        <f>tblData[[#This Row],[Actual]]-tblData[[#This Row],[Budget]]</f>
        <v>822.19999999999709</v>
      </c>
      <c r="H75" s="1">
        <f>IF(tblData[[#This Row],[Budget]]=0,0,tblData[[#This Row],[Variance]]/tblData[[#This Row],[Budget]])</f>
        <v>1.3703333333333284E-2</v>
      </c>
      <c r="I75" t="str">
        <f>IF(tblData[[#This Row],[Type]]="Revenue",IF(tblData[[#This Row],[Variance]]&gt;=0,"Favourable","Adverse"),IF(tblData[[#This Row],[Variance]]&lt;=0,"Favourable","Adverse"))</f>
        <v>Favourable</v>
      </c>
      <c r="J75" t="str">
        <f>"Q"&amp;ROUNDUP(VALUE(RIGHT(tblData[[#This Row],[Month]],2))/3,0)</f>
        <v>Q2</v>
      </c>
      <c r="K75" t="str">
        <f>_xlfn.XLOOKUP(tblData[[#This Row],[Department]], tblOwners[Department], tblOwners[Budget Owner], "Not found")</f>
        <v>Aoife Byrne</v>
      </c>
    </row>
    <row r="76" spans="1:11" x14ac:dyDescent="0.3">
      <c r="A76" t="s">
        <v>31</v>
      </c>
      <c r="B76" t="s">
        <v>7</v>
      </c>
      <c r="C76" t="s">
        <v>11</v>
      </c>
      <c r="D76" t="s">
        <v>12</v>
      </c>
      <c r="E76" s="4">
        <v>85000</v>
      </c>
      <c r="F76" s="3">
        <v>83312.09</v>
      </c>
      <c r="G76" s="3">
        <f>tblData[[#This Row],[Actual]]-tblData[[#This Row],[Budget]]</f>
        <v>-1687.9100000000035</v>
      </c>
      <c r="H76" s="1">
        <f>IF(tblData[[#This Row],[Budget]]=0,0,tblData[[#This Row],[Variance]]/tblData[[#This Row],[Budget]])</f>
        <v>-1.9857764705882394E-2</v>
      </c>
      <c r="I76" t="str">
        <f>IF(tblData[[#This Row],[Type]]="Revenue",IF(tblData[[#This Row],[Variance]]&gt;=0,"Favourable","Adverse"),IF(tblData[[#This Row],[Variance]]&lt;=0,"Favourable","Adverse"))</f>
        <v>Favourable</v>
      </c>
      <c r="J76" t="str">
        <f>"Q"&amp;ROUNDUP(VALUE(RIGHT(tblData[[#This Row],[Month]],2))/3,0)</f>
        <v>Q2</v>
      </c>
      <c r="K76" t="str">
        <f>_xlfn.XLOOKUP(tblData[[#This Row],[Department]], tblOwners[Department], tblOwners[Budget Owner], "Not found")</f>
        <v>Aoife Byrne</v>
      </c>
    </row>
    <row r="77" spans="1:11" x14ac:dyDescent="0.3">
      <c r="A77" t="s">
        <v>31</v>
      </c>
      <c r="B77" t="s">
        <v>7</v>
      </c>
      <c r="C77" t="s">
        <v>13</v>
      </c>
      <c r="D77" t="s">
        <v>12</v>
      </c>
      <c r="E77" s="4">
        <v>12000</v>
      </c>
      <c r="F77" s="3">
        <v>8770.9599999999991</v>
      </c>
      <c r="G77" s="3">
        <f>tblData[[#This Row],[Actual]]-tblData[[#This Row],[Budget]]</f>
        <v>-3229.0400000000009</v>
      </c>
      <c r="H77" s="1">
        <f>IF(tblData[[#This Row],[Budget]]=0,0,tblData[[#This Row],[Variance]]/tblData[[#This Row],[Budget]])</f>
        <v>-0.26908666666666675</v>
      </c>
      <c r="I77" t="str">
        <f>IF(tblData[[#This Row],[Type]]="Revenue",IF(tblData[[#This Row],[Variance]]&gt;=0,"Favourable","Adverse"),IF(tblData[[#This Row],[Variance]]&lt;=0,"Favourable","Adverse"))</f>
        <v>Favourable</v>
      </c>
      <c r="J77" t="str">
        <f>"Q"&amp;ROUNDUP(VALUE(RIGHT(tblData[[#This Row],[Month]],2))/3,0)</f>
        <v>Q2</v>
      </c>
      <c r="K77" t="str">
        <f>_xlfn.XLOOKUP(tblData[[#This Row],[Department]], tblOwners[Department], tblOwners[Budget Owner], "Not found")</f>
        <v>Aoife Byrne</v>
      </c>
    </row>
    <row r="78" spans="1:11" x14ac:dyDescent="0.3">
      <c r="A78" t="s">
        <v>31</v>
      </c>
      <c r="B78" t="s">
        <v>14</v>
      </c>
      <c r="C78" t="s">
        <v>15</v>
      </c>
      <c r="D78" t="s">
        <v>12</v>
      </c>
      <c r="E78" s="4">
        <v>45000</v>
      </c>
      <c r="F78" s="3">
        <v>43385.62</v>
      </c>
      <c r="G78" s="3">
        <f>tblData[[#This Row],[Actual]]-tblData[[#This Row],[Budget]]</f>
        <v>-1614.3799999999974</v>
      </c>
      <c r="H78" s="1">
        <f>IF(tblData[[#This Row],[Budget]]=0,0,tblData[[#This Row],[Variance]]/tblData[[#This Row],[Budget]])</f>
        <v>-3.5875111111111052E-2</v>
      </c>
      <c r="I78" t="str">
        <f>IF(tblData[[#This Row],[Type]]="Revenue",IF(tblData[[#This Row],[Variance]]&gt;=0,"Favourable","Adverse"),IF(tblData[[#This Row],[Variance]]&lt;=0,"Favourable","Adverse"))</f>
        <v>Favourable</v>
      </c>
      <c r="J78" t="str">
        <f>"Q"&amp;ROUNDUP(VALUE(RIGHT(tblData[[#This Row],[Month]],2))/3,0)</f>
        <v>Q2</v>
      </c>
      <c r="K78" t="str">
        <f>_xlfn.XLOOKUP(tblData[[#This Row],[Department]], tblOwners[Department], tblOwners[Budget Owner], "Not found")</f>
        <v>Liam O'Connor</v>
      </c>
    </row>
    <row r="79" spans="1:11" x14ac:dyDescent="0.3">
      <c r="A79" t="s">
        <v>31</v>
      </c>
      <c r="B79" t="s">
        <v>14</v>
      </c>
      <c r="C79" t="s">
        <v>16</v>
      </c>
      <c r="D79" t="s">
        <v>12</v>
      </c>
      <c r="E79" s="4">
        <v>10000</v>
      </c>
      <c r="F79" s="3">
        <v>10146.09</v>
      </c>
      <c r="G79" s="3">
        <f>tblData[[#This Row],[Actual]]-tblData[[#This Row],[Budget]]</f>
        <v>146.09000000000015</v>
      </c>
      <c r="H79" s="1">
        <f>IF(tblData[[#This Row],[Budget]]=0,0,tblData[[#This Row],[Variance]]/tblData[[#This Row],[Budget]])</f>
        <v>1.4609000000000014E-2</v>
      </c>
      <c r="I79" t="str">
        <f>IF(tblData[[#This Row],[Type]]="Revenue",IF(tblData[[#This Row],[Variance]]&gt;=0,"Favourable","Adverse"),IF(tblData[[#This Row],[Variance]]&lt;=0,"Favourable","Adverse"))</f>
        <v>Adverse</v>
      </c>
      <c r="J79" t="str">
        <f>"Q"&amp;ROUNDUP(VALUE(RIGHT(tblData[[#This Row],[Month]],2))/3,0)</f>
        <v>Q2</v>
      </c>
      <c r="K79" t="str">
        <f>_xlfn.XLOOKUP(tblData[[#This Row],[Department]], tblOwners[Department], tblOwners[Budget Owner], "Not found")</f>
        <v>Liam O'Connor</v>
      </c>
    </row>
    <row r="80" spans="1:11" x14ac:dyDescent="0.3">
      <c r="A80" t="s">
        <v>31</v>
      </c>
      <c r="B80" t="s">
        <v>14</v>
      </c>
      <c r="C80" t="s">
        <v>11</v>
      </c>
      <c r="D80" t="s">
        <v>12</v>
      </c>
      <c r="E80" s="4">
        <v>30000</v>
      </c>
      <c r="F80" s="3">
        <v>29577.54</v>
      </c>
      <c r="G80" s="3">
        <f>tblData[[#This Row],[Actual]]-tblData[[#This Row],[Budget]]</f>
        <v>-422.45999999999913</v>
      </c>
      <c r="H80" s="1">
        <f>IF(tblData[[#This Row],[Budget]]=0,0,tblData[[#This Row],[Variance]]/tblData[[#This Row],[Budget]])</f>
        <v>-1.4081999999999971E-2</v>
      </c>
      <c r="I80" t="str">
        <f>IF(tblData[[#This Row],[Type]]="Revenue",IF(tblData[[#This Row],[Variance]]&gt;=0,"Favourable","Adverse"),IF(tblData[[#This Row],[Variance]]&lt;=0,"Favourable","Adverse"))</f>
        <v>Favourable</v>
      </c>
      <c r="J80" t="str">
        <f>"Q"&amp;ROUNDUP(VALUE(RIGHT(tblData[[#This Row],[Month]],2))/3,0)</f>
        <v>Q2</v>
      </c>
      <c r="K80" t="str">
        <f>_xlfn.XLOOKUP(tblData[[#This Row],[Department]], tblOwners[Department], tblOwners[Budget Owner], "Not found")</f>
        <v>Liam O'Connor</v>
      </c>
    </row>
    <row r="81" spans="1:11" x14ac:dyDescent="0.3">
      <c r="A81" t="s">
        <v>31</v>
      </c>
      <c r="B81" t="s">
        <v>17</v>
      </c>
      <c r="C81" t="s">
        <v>18</v>
      </c>
      <c r="D81" t="s">
        <v>12</v>
      </c>
      <c r="E81" s="4">
        <v>40000</v>
      </c>
      <c r="F81" s="3">
        <v>40014.99</v>
      </c>
      <c r="G81" s="3">
        <f>tblData[[#This Row],[Actual]]-tblData[[#This Row],[Budget]]</f>
        <v>14.989999999997963</v>
      </c>
      <c r="H81" s="1">
        <f>IF(tblData[[#This Row],[Budget]]=0,0,tblData[[#This Row],[Variance]]/tblData[[#This Row],[Budget]])</f>
        <v>3.7474999999994907E-4</v>
      </c>
      <c r="I81" t="str">
        <f>IF(tblData[[#This Row],[Type]]="Revenue",IF(tblData[[#This Row],[Variance]]&gt;=0,"Favourable","Adverse"),IF(tblData[[#This Row],[Variance]]&lt;=0,"Favourable","Adverse"))</f>
        <v>Adverse</v>
      </c>
      <c r="J81" t="str">
        <f>"Q"&amp;ROUNDUP(VALUE(RIGHT(tblData[[#This Row],[Month]],2))/3,0)</f>
        <v>Q2</v>
      </c>
      <c r="K81" t="str">
        <f>_xlfn.XLOOKUP(tblData[[#This Row],[Department]], tblOwners[Department], tblOwners[Budget Owner], "Not found")</f>
        <v>Siobhan Kelly</v>
      </c>
    </row>
    <row r="82" spans="1:11" x14ac:dyDescent="0.3">
      <c r="A82" t="s">
        <v>31</v>
      </c>
      <c r="B82" t="s">
        <v>17</v>
      </c>
      <c r="C82" t="s">
        <v>19</v>
      </c>
      <c r="D82" t="s">
        <v>12</v>
      </c>
      <c r="E82" s="4">
        <v>55000</v>
      </c>
      <c r="F82" s="3">
        <v>55793.23</v>
      </c>
      <c r="G82" s="3">
        <f>tblData[[#This Row],[Actual]]-tblData[[#This Row],[Budget]]</f>
        <v>793.2300000000032</v>
      </c>
      <c r="H82" s="1">
        <f>IF(tblData[[#This Row],[Budget]]=0,0,tblData[[#This Row],[Variance]]/tblData[[#This Row],[Budget]])</f>
        <v>1.4422363636363695E-2</v>
      </c>
      <c r="I82" t="str">
        <f>IF(tblData[[#This Row],[Type]]="Revenue",IF(tblData[[#This Row],[Variance]]&gt;=0,"Favourable","Adverse"),IF(tblData[[#This Row],[Variance]]&lt;=0,"Favourable","Adverse"))</f>
        <v>Adverse</v>
      </c>
      <c r="J82" t="str">
        <f>"Q"&amp;ROUNDUP(VALUE(RIGHT(tblData[[#This Row],[Month]],2))/3,0)</f>
        <v>Q2</v>
      </c>
      <c r="K82" t="str">
        <f>_xlfn.XLOOKUP(tblData[[#This Row],[Department]], tblOwners[Department], tblOwners[Budget Owner], "Not found")</f>
        <v>Siobhan Kelly</v>
      </c>
    </row>
    <row r="83" spans="1:11" x14ac:dyDescent="0.3">
      <c r="A83" t="s">
        <v>31</v>
      </c>
      <c r="B83" t="s">
        <v>17</v>
      </c>
      <c r="C83" t="s">
        <v>11</v>
      </c>
      <c r="D83" t="s">
        <v>12</v>
      </c>
      <c r="E83" s="4">
        <v>70000</v>
      </c>
      <c r="F83" s="3">
        <v>70937.72</v>
      </c>
      <c r="G83" s="3">
        <f>tblData[[#This Row],[Actual]]-tblData[[#This Row],[Budget]]</f>
        <v>937.72000000000116</v>
      </c>
      <c r="H83" s="1">
        <f>IF(tblData[[#This Row],[Budget]]=0,0,tblData[[#This Row],[Variance]]/tblData[[#This Row],[Budget]])</f>
        <v>1.3396000000000017E-2</v>
      </c>
      <c r="I83" t="str">
        <f>IF(tblData[[#This Row],[Type]]="Revenue",IF(tblData[[#This Row],[Variance]]&gt;=0,"Favourable","Adverse"),IF(tblData[[#This Row],[Variance]]&lt;=0,"Favourable","Adverse"))</f>
        <v>Adverse</v>
      </c>
      <c r="J83" t="str">
        <f>"Q"&amp;ROUNDUP(VALUE(RIGHT(tblData[[#This Row],[Month]],2))/3,0)</f>
        <v>Q2</v>
      </c>
      <c r="K83" t="str">
        <f>_xlfn.XLOOKUP(tblData[[#This Row],[Department]], tblOwners[Department], tblOwners[Budget Owner], "Not found")</f>
        <v>Siobhan Kelly</v>
      </c>
    </row>
    <row r="84" spans="1:11" x14ac:dyDescent="0.3">
      <c r="A84" t="s">
        <v>31</v>
      </c>
      <c r="B84" t="s">
        <v>20</v>
      </c>
      <c r="C84" t="s">
        <v>21</v>
      </c>
      <c r="D84" t="s">
        <v>12</v>
      </c>
      <c r="E84" s="4">
        <v>18000</v>
      </c>
      <c r="F84" s="3">
        <v>18359.310000000001</v>
      </c>
      <c r="G84" s="3">
        <f>tblData[[#This Row],[Actual]]-tblData[[#This Row],[Budget]]</f>
        <v>359.31000000000131</v>
      </c>
      <c r="H84" s="1">
        <f>IF(tblData[[#This Row],[Budget]]=0,0,tblData[[#This Row],[Variance]]/tblData[[#This Row],[Budget]])</f>
        <v>1.9961666666666739E-2</v>
      </c>
      <c r="I84" t="str">
        <f>IF(tblData[[#This Row],[Type]]="Revenue",IF(tblData[[#This Row],[Variance]]&gt;=0,"Favourable","Adverse"),IF(tblData[[#This Row],[Variance]]&lt;=0,"Favourable","Adverse"))</f>
        <v>Adverse</v>
      </c>
      <c r="J84" t="str">
        <f>"Q"&amp;ROUNDUP(VALUE(RIGHT(tblData[[#This Row],[Month]],2))/3,0)</f>
        <v>Q2</v>
      </c>
      <c r="K84" t="str">
        <f>_xlfn.XLOOKUP(tblData[[#This Row],[Department]], tblOwners[Department], tblOwners[Budget Owner], "Not found")</f>
        <v>Ravi Sharma</v>
      </c>
    </row>
    <row r="85" spans="1:11" x14ac:dyDescent="0.3">
      <c r="A85" t="s">
        <v>31</v>
      </c>
      <c r="B85" t="s">
        <v>20</v>
      </c>
      <c r="C85" t="s">
        <v>22</v>
      </c>
      <c r="D85" t="s">
        <v>12</v>
      </c>
      <c r="E85" s="4">
        <v>8000</v>
      </c>
      <c r="F85" s="3">
        <v>7976.36</v>
      </c>
      <c r="G85" s="3">
        <f>tblData[[#This Row],[Actual]]-tblData[[#This Row],[Budget]]</f>
        <v>-23.640000000000327</v>
      </c>
      <c r="H85" s="1">
        <f>IF(tblData[[#This Row],[Budget]]=0,0,tblData[[#This Row],[Variance]]/tblData[[#This Row],[Budget]])</f>
        <v>-2.9550000000000409E-3</v>
      </c>
      <c r="I85" t="str">
        <f>IF(tblData[[#This Row],[Type]]="Revenue",IF(tblData[[#This Row],[Variance]]&gt;=0,"Favourable","Adverse"),IF(tblData[[#This Row],[Variance]]&lt;=0,"Favourable","Adverse"))</f>
        <v>Favourable</v>
      </c>
      <c r="J85" t="str">
        <f>"Q"&amp;ROUNDUP(VALUE(RIGHT(tblData[[#This Row],[Month]],2))/3,0)</f>
        <v>Q2</v>
      </c>
      <c r="K85" t="str">
        <f>_xlfn.XLOOKUP(tblData[[#This Row],[Department]], tblOwners[Department], tblOwners[Budget Owner], "Not found")</f>
        <v>Ravi Sharma</v>
      </c>
    </row>
    <row r="86" spans="1:11" x14ac:dyDescent="0.3">
      <c r="A86" t="s">
        <v>31</v>
      </c>
      <c r="B86" t="s">
        <v>20</v>
      </c>
      <c r="C86" t="s">
        <v>11</v>
      </c>
      <c r="D86" t="s">
        <v>12</v>
      </c>
      <c r="E86" s="4">
        <v>35000</v>
      </c>
      <c r="F86" s="3">
        <v>34555.54</v>
      </c>
      <c r="G86" s="3">
        <f>tblData[[#This Row],[Actual]]-tblData[[#This Row],[Budget]]</f>
        <v>-444.45999999999913</v>
      </c>
      <c r="H86" s="1">
        <f>IF(tblData[[#This Row],[Budget]]=0,0,tblData[[#This Row],[Variance]]/tblData[[#This Row],[Budget]])</f>
        <v>-1.2698857142857118E-2</v>
      </c>
      <c r="I86" t="str">
        <f>IF(tblData[[#This Row],[Type]]="Revenue",IF(tblData[[#This Row],[Variance]]&gt;=0,"Favourable","Adverse"),IF(tblData[[#This Row],[Variance]]&lt;=0,"Favourable","Adverse"))</f>
        <v>Favourable</v>
      </c>
      <c r="J86" t="str">
        <f>"Q"&amp;ROUNDUP(VALUE(RIGHT(tblData[[#This Row],[Month]],2))/3,0)</f>
        <v>Q2</v>
      </c>
      <c r="K86" t="str">
        <f>_xlfn.XLOOKUP(tblData[[#This Row],[Department]], tblOwners[Department], tblOwners[Budget Owner], "Not found")</f>
        <v>Ravi Sharma</v>
      </c>
    </row>
    <row r="87" spans="1:11" x14ac:dyDescent="0.3">
      <c r="A87" t="s">
        <v>31</v>
      </c>
      <c r="B87" t="s">
        <v>23</v>
      </c>
      <c r="C87" t="s">
        <v>24</v>
      </c>
      <c r="D87" t="s">
        <v>12</v>
      </c>
      <c r="E87" s="4">
        <v>6000</v>
      </c>
      <c r="F87" s="3">
        <v>5985.65</v>
      </c>
      <c r="G87" s="3">
        <f>tblData[[#This Row],[Actual]]-tblData[[#This Row],[Budget]]</f>
        <v>-14.350000000000364</v>
      </c>
      <c r="H87" s="1">
        <f>IF(tblData[[#This Row],[Budget]]=0,0,tblData[[#This Row],[Variance]]/tblData[[#This Row],[Budget]])</f>
        <v>-2.3916666666667272E-3</v>
      </c>
      <c r="I87" t="str">
        <f>IF(tblData[[#This Row],[Type]]="Revenue",IF(tblData[[#This Row],[Variance]]&gt;=0,"Favourable","Adverse"),IF(tblData[[#This Row],[Variance]]&lt;=0,"Favourable","Adverse"))</f>
        <v>Favourable</v>
      </c>
      <c r="J87" t="str">
        <f>"Q"&amp;ROUNDUP(VALUE(RIGHT(tblData[[#This Row],[Month]],2))/3,0)</f>
        <v>Q2</v>
      </c>
      <c r="K87" t="str">
        <f>_xlfn.XLOOKUP(tblData[[#This Row],[Department]], tblOwners[Department], tblOwners[Budget Owner], "Not found")</f>
        <v>Niamh Walsh</v>
      </c>
    </row>
    <row r="88" spans="1:11" x14ac:dyDescent="0.3">
      <c r="A88" t="s">
        <v>31</v>
      </c>
      <c r="B88" t="s">
        <v>23</v>
      </c>
      <c r="C88" t="s">
        <v>25</v>
      </c>
      <c r="D88" t="s">
        <v>12</v>
      </c>
      <c r="E88" s="4">
        <v>5000</v>
      </c>
      <c r="F88" s="3">
        <v>4746.8999999999996</v>
      </c>
      <c r="G88" s="3">
        <f>tblData[[#This Row],[Actual]]-tblData[[#This Row],[Budget]]</f>
        <v>-253.10000000000036</v>
      </c>
      <c r="H88" s="1">
        <f>IF(tblData[[#This Row],[Budget]]=0,0,tblData[[#This Row],[Variance]]/tblData[[#This Row],[Budget]])</f>
        <v>-5.0620000000000075E-2</v>
      </c>
      <c r="I88" t="str">
        <f>IF(tblData[[#This Row],[Type]]="Revenue",IF(tblData[[#This Row],[Variance]]&gt;=0,"Favourable","Adverse"),IF(tblData[[#This Row],[Variance]]&lt;=0,"Favourable","Adverse"))</f>
        <v>Favourable</v>
      </c>
      <c r="J88" t="str">
        <f>"Q"&amp;ROUNDUP(VALUE(RIGHT(tblData[[#This Row],[Month]],2))/3,0)</f>
        <v>Q2</v>
      </c>
      <c r="K88" t="str">
        <f>_xlfn.XLOOKUP(tblData[[#This Row],[Department]], tblOwners[Department], tblOwners[Budget Owner], "Not found")</f>
        <v>Niamh Walsh</v>
      </c>
    </row>
    <row r="89" spans="1:11" x14ac:dyDescent="0.3">
      <c r="A89" t="s">
        <v>31</v>
      </c>
      <c r="B89" t="s">
        <v>23</v>
      </c>
      <c r="C89" t="s">
        <v>11</v>
      </c>
      <c r="D89" t="s">
        <v>12</v>
      </c>
      <c r="E89" s="4">
        <v>20000</v>
      </c>
      <c r="F89" s="3">
        <v>19131.73</v>
      </c>
      <c r="G89" s="3">
        <f>tblData[[#This Row],[Actual]]-tblData[[#This Row],[Budget]]</f>
        <v>-868.27000000000044</v>
      </c>
      <c r="H89" s="1">
        <f>IF(tblData[[#This Row],[Budget]]=0,0,tblData[[#This Row],[Variance]]/tblData[[#This Row],[Budget]])</f>
        <v>-4.3413500000000022E-2</v>
      </c>
      <c r="I89" t="str">
        <f>IF(tblData[[#This Row],[Type]]="Revenue",IF(tblData[[#This Row],[Variance]]&gt;=0,"Favourable","Adverse"),IF(tblData[[#This Row],[Variance]]&lt;=0,"Favourable","Adverse"))</f>
        <v>Favourable</v>
      </c>
      <c r="J89" t="str">
        <f>"Q"&amp;ROUNDUP(VALUE(RIGHT(tblData[[#This Row],[Month]],2))/3,0)</f>
        <v>Q2</v>
      </c>
      <c r="K89" t="str">
        <f>_xlfn.XLOOKUP(tblData[[#This Row],[Department]], tblOwners[Department], tblOwners[Budget Owner], "Not found")</f>
        <v>Niamh Walsh</v>
      </c>
    </row>
    <row r="90" spans="1:11" x14ac:dyDescent="0.3">
      <c r="A90" t="s">
        <v>31</v>
      </c>
      <c r="B90" t="s">
        <v>26</v>
      </c>
      <c r="C90" t="s">
        <v>27</v>
      </c>
      <c r="D90" t="s">
        <v>12</v>
      </c>
      <c r="E90" s="4">
        <v>7000</v>
      </c>
      <c r="F90" s="3">
        <v>6722.23</v>
      </c>
      <c r="G90" s="3">
        <f>tblData[[#This Row],[Actual]]-tblData[[#This Row],[Budget]]</f>
        <v>-277.77000000000044</v>
      </c>
      <c r="H90" s="1">
        <f>IF(tblData[[#This Row],[Budget]]=0,0,tblData[[#This Row],[Variance]]/tblData[[#This Row],[Budget]])</f>
        <v>-3.9681428571428631E-2</v>
      </c>
      <c r="I90" t="str">
        <f>IF(tblData[[#This Row],[Type]]="Revenue",IF(tblData[[#This Row],[Variance]]&gt;=0,"Favourable","Adverse"),IF(tblData[[#This Row],[Variance]]&lt;=0,"Favourable","Adverse"))</f>
        <v>Favourable</v>
      </c>
      <c r="J90" t="str">
        <f>"Q"&amp;ROUNDUP(VALUE(RIGHT(tblData[[#This Row],[Month]],2))/3,0)</f>
        <v>Q2</v>
      </c>
      <c r="K90" t="str">
        <f>_xlfn.XLOOKUP(tblData[[#This Row],[Department]], tblOwners[Department], tblOwners[Budget Owner], "Not found")</f>
        <v>Conor Murphy</v>
      </c>
    </row>
    <row r="91" spans="1:11" x14ac:dyDescent="0.3">
      <c r="A91" t="s">
        <v>31</v>
      </c>
      <c r="B91" t="s">
        <v>26</v>
      </c>
      <c r="C91" t="s">
        <v>11</v>
      </c>
      <c r="D91" t="s">
        <v>12</v>
      </c>
      <c r="E91" s="4">
        <v>25000</v>
      </c>
      <c r="F91" s="3">
        <v>24252.06</v>
      </c>
      <c r="G91" s="3">
        <f>tblData[[#This Row],[Actual]]-tblData[[#This Row],[Budget]]</f>
        <v>-747.93999999999869</v>
      </c>
      <c r="H91" s="1">
        <f>IF(tblData[[#This Row],[Budget]]=0,0,tblData[[#This Row],[Variance]]/tblData[[#This Row],[Budget]])</f>
        <v>-2.9917599999999947E-2</v>
      </c>
      <c r="I91" t="str">
        <f>IF(tblData[[#This Row],[Type]]="Revenue",IF(tblData[[#This Row],[Variance]]&gt;=0,"Favourable","Adverse"),IF(tblData[[#This Row],[Variance]]&lt;=0,"Favourable","Adverse"))</f>
        <v>Favourable</v>
      </c>
      <c r="J91" t="str">
        <f>"Q"&amp;ROUNDUP(VALUE(RIGHT(tblData[[#This Row],[Month]],2))/3,0)</f>
        <v>Q2</v>
      </c>
      <c r="K91" t="str">
        <f>_xlfn.XLOOKUP(tblData[[#This Row],[Department]], tblOwners[Department], tblOwners[Budget Owner], "Not found")</f>
        <v>Conor Murphy</v>
      </c>
    </row>
    <row r="92" spans="1:11" x14ac:dyDescent="0.3">
      <c r="A92" t="s">
        <v>32</v>
      </c>
      <c r="B92" t="s">
        <v>7</v>
      </c>
      <c r="C92" t="s">
        <v>8</v>
      </c>
      <c r="D92" t="s">
        <v>9</v>
      </c>
      <c r="E92" s="4">
        <v>420000</v>
      </c>
      <c r="F92" s="3">
        <v>361993.98</v>
      </c>
      <c r="G92" s="3">
        <f>tblData[[#This Row],[Actual]]-tblData[[#This Row],[Budget]]</f>
        <v>-58006.020000000019</v>
      </c>
      <c r="H92" s="1">
        <f>IF(tblData[[#This Row],[Budget]]=0,0,tblData[[#This Row],[Variance]]/tblData[[#This Row],[Budget]])</f>
        <v>-0.13810957142857147</v>
      </c>
      <c r="I92" t="str">
        <f>IF(tblData[[#This Row],[Type]]="Revenue",IF(tblData[[#This Row],[Variance]]&gt;=0,"Favourable","Adverse"),IF(tblData[[#This Row],[Variance]]&lt;=0,"Favourable","Adverse"))</f>
        <v>Adverse</v>
      </c>
      <c r="J92" t="str">
        <f>"Q"&amp;ROUNDUP(VALUE(RIGHT(tblData[[#This Row],[Month]],2))/3,0)</f>
        <v>Q2</v>
      </c>
      <c r="K92" t="str">
        <f>_xlfn.XLOOKUP(tblData[[#This Row],[Department]], tblOwners[Department], tblOwners[Budget Owner], "Not found")</f>
        <v>Aoife Byrne</v>
      </c>
    </row>
    <row r="93" spans="1:11" x14ac:dyDescent="0.3">
      <c r="A93" t="s">
        <v>32</v>
      </c>
      <c r="B93" t="s">
        <v>7</v>
      </c>
      <c r="C93" t="s">
        <v>10</v>
      </c>
      <c r="D93" t="s">
        <v>9</v>
      </c>
      <c r="E93" s="4">
        <v>60000</v>
      </c>
      <c r="F93" s="3">
        <v>59319.31</v>
      </c>
      <c r="G93" s="3">
        <f>tblData[[#This Row],[Actual]]-tblData[[#This Row],[Budget]]</f>
        <v>-680.69000000000233</v>
      </c>
      <c r="H93" s="1">
        <f>IF(tblData[[#This Row],[Budget]]=0,0,tblData[[#This Row],[Variance]]/tblData[[#This Row],[Budget]])</f>
        <v>-1.1344833333333372E-2</v>
      </c>
      <c r="I93" t="str">
        <f>IF(tblData[[#This Row],[Type]]="Revenue",IF(tblData[[#This Row],[Variance]]&gt;=0,"Favourable","Adverse"),IF(tblData[[#This Row],[Variance]]&lt;=0,"Favourable","Adverse"))</f>
        <v>Adverse</v>
      </c>
      <c r="J93" t="str">
        <f>"Q"&amp;ROUNDUP(VALUE(RIGHT(tblData[[#This Row],[Month]],2))/3,0)</f>
        <v>Q2</v>
      </c>
      <c r="K93" t="str">
        <f>_xlfn.XLOOKUP(tblData[[#This Row],[Department]], tblOwners[Department], tblOwners[Budget Owner], "Not found")</f>
        <v>Aoife Byrne</v>
      </c>
    </row>
    <row r="94" spans="1:11" x14ac:dyDescent="0.3">
      <c r="A94" t="s">
        <v>32</v>
      </c>
      <c r="B94" t="s">
        <v>7</v>
      </c>
      <c r="C94" t="s">
        <v>11</v>
      </c>
      <c r="D94" t="s">
        <v>12</v>
      </c>
      <c r="E94" s="4">
        <v>85000</v>
      </c>
      <c r="F94" s="3">
        <v>88313.03</v>
      </c>
      <c r="G94" s="3">
        <f>tblData[[#This Row],[Actual]]-tblData[[#This Row],[Budget]]</f>
        <v>3313.0299999999988</v>
      </c>
      <c r="H94" s="1">
        <f>IF(tblData[[#This Row],[Budget]]=0,0,tblData[[#This Row],[Variance]]/tblData[[#This Row],[Budget]])</f>
        <v>3.8976823529411751E-2</v>
      </c>
      <c r="I94" t="str">
        <f>IF(tblData[[#This Row],[Type]]="Revenue",IF(tblData[[#This Row],[Variance]]&gt;=0,"Favourable","Adverse"),IF(tblData[[#This Row],[Variance]]&lt;=0,"Favourable","Adverse"))</f>
        <v>Adverse</v>
      </c>
      <c r="J94" t="str">
        <f>"Q"&amp;ROUNDUP(VALUE(RIGHT(tblData[[#This Row],[Month]],2))/3,0)</f>
        <v>Q2</v>
      </c>
      <c r="K94" t="str">
        <f>_xlfn.XLOOKUP(tblData[[#This Row],[Department]], tblOwners[Department], tblOwners[Budget Owner], "Not found")</f>
        <v>Aoife Byrne</v>
      </c>
    </row>
    <row r="95" spans="1:11" x14ac:dyDescent="0.3">
      <c r="A95" t="s">
        <v>32</v>
      </c>
      <c r="B95" t="s">
        <v>7</v>
      </c>
      <c r="C95" t="s">
        <v>13</v>
      </c>
      <c r="D95" t="s">
        <v>12</v>
      </c>
      <c r="E95" s="4">
        <v>12000</v>
      </c>
      <c r="F95" s="3">
        <v>9442.51</v>
      </c>
      <c r="G95" s="3">
        <f>tblData[[#This Row],[Actual]]-tblData[[#This Row],[Budget]]</f>
        <v>-2557.4899999999998</v>
      </c>
      <c r="H95" s="1">
        <f>IF(tblData[[#This Row],[Budget]]=0,0,tblData[[#This Row],[Variance]]/tblData[[#This Row],[Budget]])</f>
        <v>-0.21312416666666664</v>
      </c>
      <c r="I95" t="str">
        <f>IF(tblData[[#This Row],[Type]]="Revenue",IF(tblData[[#This Row],[Variance]]&gt;=0,"Favourable","Adverse"),IF(tblData[[#This Row],[Variance]]&lt;=0,"Favourable","Adverse"))</f>
        <v>Favourable</v>
      </c>
      <c r="J95" t="str">
        <f>"Q"&amp;ROUNDUP(VALUE(RIGHT(tblData[[#This Row],[Month]],2))/3,0)</f>
        <v>Q2</v>
      </c>
      <c r="K95" t="str">
        <f>_xlfn.XLOOKUP(tblData[[#This Row],[Department]], tblOwners[Department], tblOwners[Budget Owner], "Not found")</f>
        <v>Aoife Byrne</v>
      </c>
    </row>
    <row r="96" spans="1:11" x14ac:dyDescent="0.3">
      <c r="A96" t="s">
        <v>32</v>
      </c>
      <c r="B96" t="s">
        <v>14</v>
      </c>
      <c r="C96" t="s">
        <v>15</v>
      </c>
      <c r="D96" t="s">
        <v>12</v>
      </c>
      <c r="E96" s="4">
        <v>45000</v>
      </c>
      <c r="F96" s="3">
        <v>43739.62</v>
      </c>
      <c r="G96" s="3">
        <f>tblData[[#This Row],[Actual]]-tblData[[#This Row],[Budget]]</f>
        <v>-1260.3799999999974</v>
      </c>
      <c r="H96" s="1">
        <f>IF(tblData[[#This Row],[Budget]]=0,0,tblData[[#This Row],[Variance]]/tblData[[#This Row],[Budget]])</f>
        <v>-2.8008444444444388E-2</v>
      </c>
      <c r="I96" t="str">
        <f>IF(tblData[[#This Row],[Type]]="Revenue",IF(tblData[[#This Row],[Variance]]&gt;=0,"Favourable","Adverse"),IF(tblData[[#This Row],[Variance]]&lt;=0,"Favourable","Adverse"))</f>
        <v>Favourable</v>
      </c>
      <c r="J96" t="str">
        <f>"Q"&amp;ROUNDUP(VALUE(RIGHT(tblData[[#This Row],[Month]],2))/3,0)</f>
        <v>Q2</v>
      </c>
      <c r="K96" t="str">
        <f>_xlfn.XLOOKUP(tblData[[#This Row],[Department]], tblOwners[Department], tblOwners[Budget Owner], "Not found")</f>
        <v>Liam O'Connor</v>
      </c>
    </row>
    <row r="97" spans="1:11" x14ac:dyDescent="0.3">
      <c r="A97" t="s">
        <v>32</v>
      </c>
      <c r="B97" t="s">
        <v>14</v>
      </c>
      <c r="C97" t="s">
        <v>16</v>
      </c>
      <c r="D97" t="s">
        <v>12</v>
      </c>
      <c r="E97" s="4">
        <v>10000</v>
      </c>
      <c r="F97" s="3">
        <v>9938.3700000000008</v>
      </c>
      <c r="G97" s="3">
        <f>tblData[[#This Row],[Actual]]-tblData[[#This Row],[Budget]]</f>
        <v>-61.6299999999992</v>
      </c>
      <c r="H97" s="1">
        <f>IF(tblData[[#This Row],[Budget]]=0,0,tblData[[#This Row],[Variance]]/tblData[[#This Row],[Budget]])</f>
        <v>-6.1629999999999203E-3</v>
      </c>
      <c r="I97" t="str">
        <f>IF(tblData[[#This Row],[Type]]="Revenue",IF(tblData[[#This Row],[Variance]]&gt;=0,"Favourable","Adverse"),IF(tblData[[#This Row],[Variance]]&lt;=0,"Favourable","Adverse"))</f>
        <v>Favourable</v>
      </c>
      <c r="J97" t="str">
        <f>"Q"&amp;ROUNDUP(VALUE(RIGHT(tblData[[#This Row],[Month]],2))/3,0)</f>
        <v>Q2</v>
      </c>
      <c r="K97" t="str">
        <f>_xlfn.XLOOKUP(tblData[[#This Row],[Department]], tblOwners[Department], tblOwners[Budget Owner], "Not found")</f>
        <v>Liam O'Connor</v>
      </c>
    </row>
    <row r="98" spans="1:11" x14ac:dyDescent="0.3">
      <c r="A98" t="s">
        <v>32</v>
      </c>
      <c r="B98" t="s">
        <v>14</v>
      </c>
      <c r="C98" t="s">
        <v>11</v>
      </c>
      <c r="D98" t="s">
        <v>12</v>
      </c>
      <c r="E98" s="4">
        <v>30000</v>
      </c>
      <c r="F98" s="3">
        <v>29144.98</v>
      </c>
      <c r="G98" s="3">
        <f>tblData[[#This Row],[Actual]]-tblData[[#This Row],[Budget]]</f>
        <v>-855.02000000000044</v>
      </c>
      <c r="H98" s="1">
        <f>IF(tblData[[#This Row],[Budget]]=0,0,tblData[[#This Row],[Variance]]/tblData[[#This Row],[Budget]])</f>
        <v>-2.8500666666666681E-2</v>
      </c>
      <c r="I98" t="str">
        <f>IF(tblData[[#This Row],[Type]]="Revenue",IF(tblData[[#This Row],[Variance]]&gt;=0,"Favourable","Adverse"),IF(tblData[[#This Row],[Variance]]&lt;=0,"Favourable","Adverse"))</f>
        <v>Favourable</v>
      </c>
      <c r="J98" t="str">
        <f>"Q"&amp;ROUNDUP(VALUE(RIGHT(tblData[[#This Row],[Month]],2))/3,0)</f>
        <v>Q2</v>
      </c>
      <c r="K98" t="str">
        <f>_xlfn.XLOOKUP(tblData[[#This Row],[Department]], tblOwners[Department], tblOwners[Budget Owner], "Not found")</f>
        <v>Liam O'Connor</v>
      </c>
    </row>
    <row r="99" spans="1:11" x14ac:dyDescent="0.3">
      <c r="A99" t="s">
        <v>32</v>
      </c>
      <c r="B99" t="s">
        <v>17</v>
      </c>
      <c r="C99" t="s">
        <v>18</v>
      </c>
      <c r="D99" t="s">
        <v>12</v>
      </c>
      <c r="E99" s="4">
        <v>40000</v>
      </c>
      <c r="F99" s="3">
        <v>39593.160000000003</v>
      </c>
      <c r="G99" s="3">
        <f>tblData[[#This Row],[Actual]]-tblData[[#This Row],[Budget]]</f>
        <v>-406.83999999999651</v>
      </c>
      <c r="H99" s="1">
        <f>IF(tblData[[#This Row],[Budget]]=0,0,tblData[[#This Row],[Variance]]/tblData[[#This Row],[Budget]])</f>
        <v>-1.0170999999999913E-2</v>
      </c>
      <c r="I99" t="str">
        <f>IF(tblData[[#This Row],[Type]]="Revenue",IF(tblData[[#This Row],[Variance]]&gt;=0,"Favourable","Adverse"),IF(tblData[[#This Row],[Variance]]&lt;=0,"Favourable","Adverse"))</f>
        <v>Favourable</v>
      </c>
      <c r="J99" t="str">
        <f>"Q"&amp;ROUNDUP(VALUE(RIGHT(tblData[[#This Row],[Month]],2))/3,0)</f>
        <v>Q2</v>
      </c>
      <c r="K99" t="str">
        <f>_xlfn.XLOOKUP(tblData[[#This Row],[Department]], tblOwners[Department], tblOwners[Budget Owner], "Not found")</f>
        <v>Siobhan Kelly</v>
      </c>
    </row>
    <row r="100" spans="1:11" x14ac:dyDescent="0.3">
      <c r="A100" t="s">
        <v>32</v>
      </c>
      <c r="B100" t="s">
        <v>17</v>
      </c>
      <c r="C100" t="s">
        <v>19</v>
      </c>
      <c r="D100" t="s">
        <v>12</v>
      </c>
      <c r="E100" s="4">
        <v>55000</v>
      </c>
      <c r="F100" s="3">
        <v>56386.51</v>
      </c>
      <c r="G100" s="3">
        <f>tblData[[#This Row],[Actual]]-tblData[[#This Row],[Budget]]</f>
        <v>1386.510000000002</v>
      </c>
      <c r="H100" s="1">
        <f>IF(tblData[[#This Row],[Budget]]=0,0,tblData[[#This Row],[Variance]]/tblData[[#This Row],[Budget]])</f>
        <v>2.5209272727272764E-2</v>
      </c>
      <c r="I100" t="str">
        <f>IF(tblData[[#This Row],[Type]]="Revenue",IF(tblData[[#This Row],[Variance]]&gt;=0,"Favourable","Adverse"),IF(tblData[[#This Row],[Variance]]&lt;=0,"Favourable","Adverse"))</f>
        <v>Adverse</v>
      </c>
      <c r="J100" t="str">
        <f>"Q"&amp;ROUNDUP(VALUE(RIGHT(tblData[[#This Row],[Month]],2))/3,0)</f>
        <v>Q2</v>
      </c>
      <c r="K100" t="str">
        <f>_xlfn.XLOOKUP(tblData[[#This Row],[Department]], tblOwners[Department], tblOwners[Budget Owner], "Not found")</f>
        <v>Siobhan Kelly</v>
      </c>
    </row>
    <row r="101" spans="1:11" x14ac:dyDescent="0.3">
      <c r="A101" t="s">
        <v>32</v>
      </c>
      <c r="B101" t="s">
        <v>17</v>
      </c>
      <c r="C101" t="s">
        <v>11</v>
      </c>
      <c r="D101" t="s">
        <v>12</v>
      </c>
      <c r="E101" s="4">
        <v>70000</v>
      </c>
      <c r="F101" s="3">
        <v>66372.63</v>
      </c>
      <c r="G101" s="3">
        <f>tblData[[#This Row],[Actual]]-tblData[[#This Row],[Budget]]</f>
        <v>-3627.3699999999953</v>
      </c>
      <c r="H101" s="1">
        <f>IF(tblData[[#This Row],[Budget]]=0,0,tblData[[#This Row],[Variance]]/tblData[[#This Row],[Budget]])</f>
        <v>-5.1819571428571361E-2</v>
      </c>
      <c r="I101" t="str">
        <f>IF(tblData[[#This Row],[Type]]="Revenue",IF(tblData[[#This Row],[Variance]]&gt;=0,"Favourable","Adverse"),IF(tblData[[#This Row],[Variance]]&lt;=0,"Favourable","Adverse"))</f>
        <v>Favourable</v>
      </c>
      <c r="J101" t="str">
        <f>"Q"&amp;ROUNDUP(VALUE(RIGHT(tblData[[#This Row],[Month]],2))/3,0)</f>
        <v>Q2</v>
      </c>
      <c r="K101" t="str">
        <f>_xlfn.XLOOKUP(tblData[[#This Row],[Department]], tblOwners[Department], tblOwners[Budget Owner], "Not found")</f>
        <v>Siobhan Kelly</v>
      </c>
    </row>
    <row r="102" spans="1:11" x14ac:dyDescent="0.3">
      <c r="A102" t="s">
        <v>32</v>
      </c>
      <c r="B102" t="s">
        <v>20</v>
      </c>
      <c r="C102" t="s">
        <v>21</v>
      </c>
      <c r="D102" t="s">
        <v>12</v>
      </c>
      <c r="E102" s="4">
        <v>18000</v>
      </c>
      <c r="F102" s="3">
        <v>18234.59</v>
      </c>
      <c r="G102" s="3">
        <f>tblData[[#This Row],[Actual]]-tblData[[#This Row],[Budget]]</f>
        <v>234.59000000000015</v>
      </c>
      <c r="H102" s="1">
        <f>IF(tblData[[#This Row],[Budget]]=0,0,tblData[[#This Row],[Variance]]/tblData[[#This Row],[Budget]])</f>
        <v>1.3032777777777785E-2</v>
      </c>
      <c r="I102" t="str">
        <f>IF(tblData[[#This Row],[Type]]="Revenue",IF(tblData[[#This Row],[Variance]]&gt;=0,"Favourable","Adverse"),IF(tblData[[#This Row],[Variance]]&lt;=0,"Favourable","Adverse"))</f>
        <v>Adverse</v>
      </c>
      <c r="J102" t="str">
        <f>"Q"&amp;ROUNDUP(VALUE(RIGHT(tblData[[#This Row],[Month]],2))/3,0)</f>
        <v>Q2</v>
      </c>
      <c r="K102" t="str">
        <f>_xlfn.XLOOKUP(tblData[[#This Row],[Department]], tblOwners[Department], tblOwners[Budget Owner], "Not found")</f>
        <v>Ravi Sharma</v>
      </c>
    </row>
    <row r="103" spans="1:11" x14ac:dyDescent="0.3">
      <c r="A103" t="s">
        <v>32</v>
      </c>
      <c r="B103" t="s">
        <v>20</v>
      </c>
      <c r="C103" t="s">
        <v>22</v>
      </c>
      <c r="D103" t="s">
        <v>12</v>
      </c>
      <c r="E103" s="4">
        <v>8000</v>
      </c>
      <c r="F103" s="3">
        <v>8057.06</v>
      </c>
      <c r="G103" s="3">
        <f>tblData[[#This Row],[Actual]]-tblData[[#This Row],[Budget]]</f>
        <v>57.0600000000004</v>
      </c>
      <c r="H103" s="1">
        <f>IF(tblData[[#This Row],[Budget]]=0,0,tblData[[#This Row],[Variance]]/tblData[[#This Row],[Budget]])</f>
        <v>7.1325000000000503E-3</v>
      </c>
      <c r="I103" t="str">
        <f>IF(tblData[[#This Row],[Type]]="Revenue",IF(tblData[[#This Row],[Variance]]&gt;=0,"Favourable","Adverse"),IF(tblData[[#This Row],[Variance]]&lt;=0,"Favourable","Adverse"))</f>
        <v>Adverse</v>
      </c>
      <c r="J103" t="str">
        <f>"Q"&amp;ROUNDUP(VALUE(RIGHT(tblData[[#This Row],[Month]],2))/3,0)</f>
        <v>Q2</v>
      </c>
      <c r="K103" t="str">
        <f>_xlfn.XLOOKUP(tblData[[#This Row],[Department]], tblOwners[Department], tblOwners[Budget Owner], "Not found")</f>
        <v>Ravi Sharma</v>
      </c>
    </row>
    <row r="104" spans="1:11" x14ac:dyDescent="0.3">
      <c r="A104" t="s">
        <v>32</v>
      </c>
      <c r="B104" t="s">
        <v>20</v>
      </c>
      <c r="C104" t="s">
        <v>11</v>
      </c>
      <c r="D104" t="s">
        <v>12</v>
      </c>
      <c r="E104" s="4">
        <v>35000</v>
      </c>
      <c r="F104" s="3">
        <v>34376.14</v>
      </c>
      <c r="G104" s="3">
        <f>tblData[[#This Row],[Actual]]-tblData[[#This Row],[Budget]]</f>
        <v>-623.86000000000058</v>
      </c>
      <c r="H104" s="1">
        <f>IF(tblData[[#This Row],[Budget]]=0,0,tblData[[#This Row],[Variance]]/tblData[[#This Row],[Budget]])</f>
        <v>-1.7824571428571447E-2</v>
      </c>
      <c r="I104" t="str">
        <f>IF(tblData[[#This Row],[Type]]="Revenue",IF(tblData[[#This Row],[Variance]]&gt;=0,"Favourable","Adverse"),IF(tblData[[#This Row],[Variance]]&lt;=0,"Favourable","Adverse"))</f>
        <v>Favourable</v>
      </c>
      <c r="J104" t="str">
        <f>"Q"&amp;ROUNDUP(VALUE(RIGHT(tblData[[#This Row],[Month]],2))/3,0)</f>
        <v>Q2</v>
      </c>
      <c r="K104" t="str">
        <f>_xlfn.XLOOKUP(tblData[[#This Row],[Department]], tblOwners[Department], tblOwners[Budget Owner], "Not found")</f>
        <v>Ravi Sharma</v>
      </c>
    </row>
    <row r="105" spans="1:11" x14ac:dyDescent="0.3">
      <c r="A105" t="s">
        <v>32</v>
      </c>
      <c r="B105" t="s">
        <v>23</v>
      </c>
      <c r="C105" t="s">
        <v>24</v>
      </c>
      <c r="D105" t="s">
        <v>12</v>
      </c>
      <c r="E105" s="4">
        <v>6000</v>
      </c>
      <c r="F105" s="3">
        <v>5739.71</v>
      </c>
      <c r="G105" s="3">
        <f>tblData[[#This Row],[Actual]]-tblData[[#This Row],[Budget]]</f>
        <v>-260.28999999999996</v>
      </c>
      <c r="H105" s="1">
        <f>IF(tblData[[#This Row],[Budget]]=0,0,tblData[[#This Row],[Variance]]/tblData[[#This Row],[Budget]])</f>
        <v>-4.3381666666666659E-2</v>
      </c>
      <c r="I105" t="str">
        <f>IF(tblData[[#This Row],[Type]]="Revenue",IF(tblData[[#This Row],[Variance]]&gt;=0,"Favourable","Adverse"),IF(tblData[[#This Row],[Variance]]&lt;=0,"Favourable","Adverse"))</f>
        <v>Favourable</v>
      </c>
      <c r="J105" t="str">
        <f>"Q"&amp;ROUNDUP(VALUE(RIGHT(tblData[[#This Row],[Month]],2))/3,0)</f>
        <v>Q2</v>
      </c>
      <c r="K105" t="str">
        <f>_xlfn.XLOOKUP(tblData[[#This Row],[Department]], tblOwners[Department], tblOwners[Budget Owner], "Not found")</f>
        <v>Niamh Walsh</v>
      </c>
    </row>
    <row r="106" spans="1:11" x14ac:dyDescent="0.3">
      <c r="A106" t="s">
        <v>32</v>
      </c>
      <c r="B106" t="s">
        <v>23</v>
      </c>
      <c r="C106" t="s">
        <v>25</v>
      </c>
      <c r="D106" t="s">
        <v>12</v>
      </c>
      <c r="E106" s="4">
        <v>5000</v>
      </c>
      <c r="F106" s="3">
        <v>5010.82</v>
      </c>
      <c r="G106" s="3">
        <f>tblData[[#This Row],[Actual]]-tblData[[#This Row],[Budget]]</f>
        <v>10.819999999999709</v>
      </c>
      <c r="H106" s="1">
        <f>IF(tblData[[#This Row],[Budget]]=0,0,tblData[[#This Row],[Variance]]/tblData[[#This Row],[Budget]])</f>
        <v>2.1639999999999416E-3</v>
      </c>
      <c r="I106" t="str">
        <f>IF(tblData[[#This Row],[Type]]="Revenue",IF(tblData[[#This Row],[Variance]]&gt;=0,"Favourable","Adverse"),IF(tblData[[#This Row],[Variance]]&lt;=0,"Favourable","Adverse"))</f>
        <v>Adverse</v>
      </c>
      <c r="J106" t="str">
        <f>"Q"&amp;ROUNDUP(VALUE(RIGHT(tblData[[#This Row],[Month]],2))/3,0)</f>
        <v>Q2</v>
      </c>
      <c r="K106" t="str">
        <f>_xlfn.XLOOKUP(tblData[[#This Row],[Department]], tblOwners[Department], tblOwners[Budget Owner], "Not found")</f>
        <v>Niamh Walsh</v>
      </c>
    </row>
    <row r="107" spans="1:11" x14ac:dyDescent="0.3">
      <c r="A107" t="s">
        <v>32</v>
      </c>
      <c r="B107" t="s">
        <v>23</v>
      </c>
      <c r="C107" t="s">
        <v>11</v>
      </c>
      <c r="D107" t="s">
        <v>12</v>
      </c>
      <c r="E107" s="4">
        <v>20000</v>
      </c>
      <c r="F107" s="3">
        <v>19682.3</v>
      </c>
      <c r="G107" s="3">
        <f>tblData[[#This Row],[Actual]]-tblData[[#This Row],[Budget]]</f>
        <v>-317.70000000000073</v>
      </c>
      <c r="H107" s="1">
        <f>IF(tblData[[#This Row],[Budget]]=0,0,tblData[[#This Row],[Variance]]/tblData[[#This Row],[Budget]])</f>
        <v>-1.5885000000000038E-2</v>
      </c>
      <c r="I107" t="str">
        <f>IF(tblData[[#This Row],[Type]]="Revenue",IF(tblData[[#This Row],[Variance]]&gt;=0,"Favourable","Adverse"),IF(tblData[[#This Row],[Variance]]&lt;=0,"Favourable","Adverse"))</f>
        <v>Favourable</v>
      </c>
      <c r="J107" t="str">
        <f>"Q"&amp;ROUNDUP(VALUE(RIGHT(tblData[[#This Row],[Month]],2))/3,0)</f>
        <v>Q2</v>
      </c>
      <c r="K107" t="str">
        <f>_xlfn.XLOOKUP(tblData[[#This Row],[Department]], tblOwners[Department], tblOwners[Budget Owner], "Not found")</f>
        <v>Niamh Walsh</v>
      </c>
    </row>
    <row r="108" spans="1:11" x14ac:dyDescent="0.3">
      <c r="A108" t="s">
        <v>32</v>
      </c>
      <c r="B108" t="s">
        <v>26</v>
      </c>
      <c r="C108" t="s">
        <v>27</v>
      </c>
      <c r="D108" t="s">
        <v>12</v>
      </c>
      <c r="E108" s="4">
        <v>7000</v>
      </c>
      <c r="F108" s="3">
        <v>7048.86</v>
      </c>
      <c r="G108" s="3">
        <f>tblData[[#This Row],[Actual]]-tblData[[#This Row],[Budget]]</f>
        <v>48.859999999999673</v>
      </c>
      <c r="H108" s="1">
        <f>IF(tblData[[#This Row],[Budget]]=0,0,tblData[[#This Row],[Variance]]/tblData[[#This Row],[Budget]])</f>
        <v>6.9799999999999533E-3</v>
      </c>
      <c r="I108" t="str">
        <f>IF(tblData[[#This Row],[Type]]="Revenue",IF(tblData[[#This Row],[Variance]]&gt;=0,"Favourable","Adverse"),IF(tblData[[#This Row],[Variance]]&lt;=0,"Favourable","Adverse"))</f>
        <v>Adverse</v>
      </c>
      <c r="J108" t="str">
        <f>"Q"&amp;ROUNDUP(VALUE(RIGHT(tblData[[#This Row],[Month]],2))/3,0)</f>
        <v>Q2</v>
      </c>
      <c r="K108" t="str">
        <f>_xlfn.XLOOKUP(tblData[[#This Row],[Department]], tblOwners[Department], tblOwners[Budget Owner], "Not found")</f>
        <v>Conor Murphy</v>
      </c>
    </row>
    <row r="109" spans="1:11" x14ac:dyDescent="0.3">
      <c r="A109" t="s">
        <v>32</v>
      </c>
      <c r="B109" t="s">
        <v>26</v>
      </c>
      <c r="C109" t="s">
        <v>11</v>
      </c>
      <c r="D109" t="s">
        <v>12</v>
      </c>
      <c r="E109" s="4">
        <v>25000</v>
      </c>
      <c r="F109" s="3">
        <v>25016.39</v>
      </c>
      <c r="G109" s="3">
        <f>tblData[[#This Row],[Actual]]-tblData[[#This Row],[Budget]]</f>
        <v>16.389999999999418</v>
      </c>
      <c r="H109" s="1">
        <f>IF(tblData[[#This Row],[Budget]]=0,0,tblData[[#This Row],[Variance]]/tblData[[#This Row],[Budget]])</f>
        <v>6.5559999999997669E-4</v>
      </c>
      <c r="I109" t="str">
        <f>IF(tblData[[#This Row],[Type]]="Revenue",IF(tblData[[#This Row],[Variance]]&gt;=0,"Favourable","Adverse"),IF(tblData[[#This Row],[Variance]]&lt;=0,"Favourable","Adverse"))</f>
        <v>Adverse</v>
      </c>
      <c r="J109" t="str">
        <f>"Q"&amp;ROUNDUP(VALUE(RIGHT(tblData[[#This Row],[Month]],2))/3,0)</f>
        <v>Q2</v>
      </c>
      <c r="K109" t="str">
        <f>_xlfn.XLOOKUP(tblData[[#This Row],[Department]], tblOwners[Department], tblOwners[Budget Owner], "Not found")</f>
        <v>Conor Murphy</v>
      </c>
    </row>
    <row r="110" spans="1:11" x14ac:dyDescent="0.3">
      <c r="A110" t="s">
        <v>33</v>
      </c>
      <c r="B110" t="s">
        <v>7</v>
      </c>
      <c r="C110" t="s">
        <v>8</v>
      </c>
      <c r="D110" t="s">
        <v>9</v>
      </c>
      <c r="E110" s="4">
        <v>399000</v>
      </c>
      <c r="F110" s="3">
        <v>418173.29</v>
      </c>
      <c r="G110" s="3">
        <f>tblData[[#This Row],[Actual]]-tblData[[#This Row],[Budget]]</f>
        <v>19173.289999999979</v>
      </c>
      <c r="H110" s="1">
        <f>IF(tblData[[#This Row],[Budget]]=0,0,tblData[[#This Row],[Variance]]/tblData[[#This Row],[Budget]])</f>
        <v>4.8053358395989926E-2</v>
      </c>
      <c r="I110" t="str">
        <f>IF(tblData[[#This Row],[Type]]="Revenue",IF(tblData[[#This Row],[Variance]]&gt;=0,"Favourable","Adverse"),IF(tblData[[#This Row],[Variance]]&lt;=0,"Favourable","Adverse"))</f>
        <v>Favourable</v>
      </c>
      <c r="J110" t="str">
        <f>"Q"&amp;ROUNDUP(VALUE(RIGHT(tblData[[#This Row],[Month]],2))/3,0)</f>
        <v>Q3</v>
      </c>
      <c r="K110" t="str">
        <f>_xlfn.XLOOKUP(tblData[[#This Row],[Department]], tblOwners[Department], tblOwners[Budget Owner], "Not found")</f>
        <v>Aoife Byrne</v>
      </c>
    </row>
    <row r="111" spans="1:11" x14ac:dyDescent="0.3">
      <c r="A111" t="s">
        <v>33</v>
      </c>
      <c r="B111" t="s">
        <v>7</v>
      </c>
      <c r="C111" t="s">
        <v>10</v>
      </c>
      <c r="D111" t="s">
        <v>9</v>
      </c>
      <c r="E111" s="4">
        <v>57000</v>
      </c>
      <c r="F111" s="3">
        <v>56590.7</v>
      </c>
      <c r="G111" s="3">
        <f>tblData[[#This Row],[Actual]]-tblData[[#This Row],[Budget]]</f>
        <v>-409.30000000000291</v>
      </c>
      <c r="H111" s="1">
        <f>IF(tblData[[#This Row],[Budget]]=0,0,tblData[[#This Row],[Variance]]/tblData[[#This Row],[Budget]])</f>
        <v>-7.1807017543860157E-3</v>
      </c>
      <c r="I111" t="str">
        <f>IF(tblData[[#This Row],[Type]]="Revenue",IF(tblData[[#This Row],[Variance]]&gt;=0,"Favourable","Adverse"),IF(tblData[[#This Row],[Variance]]&lt;=0,"Favourable","Adverse"))</f>
        <v>Adverse</v>
      </c>
      <c r="J111" t="str">
        <f>"Q"&amp;ROUNDUP(VALUE(RIGHT(tblData[[#This Row],[Month]],2))/3,0)</f>
        <v>Q3</v>
      </c>
      <c r="K111" t="str">
        <f>_xlfn.XLOOKUP(tblData[[#This Row],[Department]], tblOwners[Department], tblOwners[Budget Owner], "Not found")</f>
        <v>Aoife Byrne</v>
      </c>
    </row>
    <row r="112" spans="1:11" x14ac:dyDescent="0.3">
      <c r="A112" t="s">
        <v>33</v>
      </c>
      <c r="B112" t="s">
        <v>7</v>
      </c>
      <c r="C112" t="s">
        <v>11</v>
      </c>
      <c r="D112" t="s">
        <v>12</v>
      </c>
      <c r="E112" s="4">
        <v>85000</v>
      </c>
      <c r="F112" s="3">
        <v>82390.080000000002</v>
      </c>
      <c r="G112" s="3">
        <f>tblData[[#This Row],[Actual]]-tblData[[#This Row],[Budget]]</f>
        <v>-2609.9199999999983</v>
      </c>
      <c r="H112" s="1">
        <f>IF(tblData[[#This Row],[Budget]]=0,0,tblData[[#This Row],[Variance]]/tblData[[#This Row],[Budget]])</f>
        <v>-3.0704941176470567E-2</v>
      </c>
      <c r="I112" t="str">
        <f>IF(tblData[[#This Row],[Type]]="Revenue",IF(tblData[[#This Row],[Variance]]&gt;=0,"Favourable","Adverse"),IF(tblData[[#This Row],[Variance]]&lt;=0,"Favourable","Adverse"))</f>
        <v>Favourable</v>
      </c>
      <c r="J112" t="str">
        <f>"Q"&amp;ROUNDUP(VALUE(RIGHT(tblData[[#This Row],[Month]],2))/3,0)</f>
        <v>Q3</v>
      </c>
      <c r="K112" t="str">
        <f>_xlfn.XLOOKUP(tblData[[#This Row],[Department]], tblOwners[Department], tblOwners[Budget Owner], "Not found")</f>
        <v>Aoife Byrne</v>
      </c>
    </row>
    <row r="113" spans="1:11" x14ac:dyDescent="0.3">
      <c r="A113" t="s">
        <v>33</v>
      </c>
      <c r="B113" t="s">
        <v>7</v>
      </c>
      <c r="C113" t="s">
        <v>13</v>
      </c>
      <c r="D113" t="s">
        <v>12</v>
      </c>
      <c r="E113" s="4">
        <v>12000</v>
      </c>
      <c r="F113" s="3">
        <v>9132</v>
      </c>
      <c r="G113" s="3">
        <f>tblData[[#This Row],[Actual]]-tblData[[#This Row],[Budget]]</f>
        <v>-2868</v>
      </c>
      <c r="H113" s="1">
        <f>IF(tblData[[#This Row],[Budget]]=0,0,tblData[[#This Row],[Variance]]/tblData[[#This Row],[Budget]])</f>
        <v>-0.23899999999999999</v>
      </c>
      <c r="I113" t="str">
        <f>IF(tblData[[#This Row],[Type]]="Revenue",IF(tblData[[#This Row],[Variance]]&gt;=0,"Favourable","Adverse"),IF(tblData[[#This Row],[Variance]]&lt;=0,"Favourable","Adverse"))</f>
        <v>Favourable</v>
      </c>
      <c r="J113" t="str">
        <f>"Q"&amp;ROUNDUP(VALUE(RIGHT(tblData[[#This Row],[Month]],2))/3,0)</f>
        <v>Q3</v>
      </c>
      <c r="K113" t="str">
        <f>_xlfn.XLOOKUP(tblData[[#This Row],[Department]], tblOwners[Department], tblOwners[Budget Owner], "Not found")</f>
        <v>Aoife Byrne</v>
      </c>
    </row>
    <row r="114" spans="1:11" x14ac:dyDescent="0.3">
      <c r="A114" t="s">
        <v>33</v>
      </c>
      <c r="B114" t="s">
        <v>14</v>
      </c>
      <c r="C114" t="s">
        <v>15</v>
      </c>
      <c r="D114" t="s">
        <v>12</v>
      </c>
      <c r="E114" s="4">
        <v>45000</v>
      </c>
      <c r="F114" s="3">
        <v>46834.9</v>
      </c>
      <c r="G114" s="3">
        <f>tblData[[#This Row],[Actual]]-tblData[[#This Row],[Budget]]</f>
        <v>1834.9000000000015</v>
      </c>
      <c r="H114" s="1">
        <f>IF(tblData[[#This Row],[Budget]]=0,0,tblData[[#This Row],[Variance]]/tblData[[#This Row],[Budget]])</f>
        <v>4.0775555555555586E-2</v>
      </c>
      <c r="I114" t="str">
        <f>IF(tblData[[#This Row],[Type]]="Revenue",IF(tblData[[#This Row],[Variance]]&gt;=0,"Favourable","Adverse"),IF(tblData[[#This Row],[Variance]]&lt;=0,"Favourable","Adverse"))</f>
        <v>Adverse</v>
      </c>
      <c r="J114" t="str">
        <f>"Q"&amp;ROUNDUP(VALUE(RIGHT(tblData[[#This Row],[Month]],2))/3,0)</f>
        <v>Q3</v>
      </c>
      <c r="K114" t="str">
        <f>_xlfn.XLOOKUP(tblData[[#This Row],[Department]], tblOwners[Department], tblOwners[Budget Owner], "Not found")</f>
        <v>Liam O'Connor</v>
      </c>
    </row>
    <row r="115" spans="1:11" x14ac:dyDescent="0.3">
      <c r="A115" t="s">
        <v>33</v>
      </c>
      <c r="B115" t="s">
        <v>14</v>
      </c>
      <c r="C115" t="s">
        <v>16</v>
      </c>
      <c r="D115" t="s">
        <v>12</v>
      </c>
      <c r="E115" s="4">
        <v>10000</v>
      </c>
      <c r="F115" s="3">
        <v>10250.530000000001</v>
      </c>
      <c r="G115" s="3">
        <f>tblData[[#This Row],[Actual]]-tblData[[#This Row],[Budget]]</f>
        <v>250.53000000000065</v>
      </c>
      <c r="H115" s="1">
        <f>IF(tblData[[#This Row],[Budget]]=0,0,tblData[[#This Row],[Variance]]/tblData[[#This Row],[Budget]])</f>
        <v>2.5053000000000065E-2</v>
      </c>
      <c r="I115" t="str">
        <f>IF(tblData[[#This Row],[Type]]="Revenue",IF(tblData[[#This Row],[Variance]]&gt;=0,"Favourable","Adverse"),IF(tblData[[#This Row],[Variance]]&lt;=0,"Favourable","Adverse"))</f>
        <v>Adverse</v>
      </c>
      <c r="J115" t="str">
        <f>"Q"&amp;ROUNDUP(VALUE(RIGHT(tblData[[#This Row],[Month]],2))/3,0)</f>
        <v>Q3</v>
      </c>
      <c r="K115" t="str">
        <f>_xlfn.XLOOKUP(tblData[[#This Row],[Department]], tblOwners[Department], tblOwners[Budget Owner], "Not found")</f>
        <v>Liam O'Connor</v>
      </c>
    </row>
    <row r="116" spans="1:11" x14ac:dyDescent="0.3">
      <c r="A116" t="s">
        <v>33</v>
      </c>
      <c r="B116" t="s">
        <v>14</v>
      </c>
      <c r="C116" t="s">
        <v>11</v>
      </c>
      <c r="D116" t="s">
        <v>12</v>
      </c>
      <c r="E116" s="4">
        <v>30000</v>
      </c>
      <c r="F116" s="3">
        <v>30321.18</v>
      </c>
      <c r="G116" s="3">
        <f>tblData[[#This Row],[Actual]]-tblData[[#This Row],[Budget]]</f>
        <v>321.18000000000029</v>
      </c>
      <c r="H116" s="1">
        <f>IF(tblData[[#This Row],[Budget]]=0,0,tblData[[#This Row],[Variance]]/tblData[[#This Row],[Budget]])</f>
        <v>1.0706000000000009E-2</v>
      </c>
      <c r="I116" t="str">
        <f>IF(tblData[[#This Row],[Type]]="Revenue",IF(tblData[[#This Row],[Variance]]&gt;=0,"Favourable","Adverse"),IF(tblData[[#This Row],[Variance]]&lt;=0,"Favourable","Adverse"))</f>
        <v>Adverse</v>
      </c>
      <c r="J116" t="str">
        <f>"Q"&amp;ROUNDUP(VALUE(RIGHT(tblData[[#This Row],[Month]],2))/3,0)</f>
        <v>Q3</v>
      </c>
      <c r="K116" t="str">
        <f>_xlfn.XLOOKUP(tblData[[#This Row],[Department]], tblOwners[Department], tblOwners[Budget Owner], "Not found")</f>
        <v>Liam O'Connor</v>
      </c>
    </row>
    <row r="117" spans="1:11" x14ac:dyDescent="0.3">
      <c r="A117" t="s">
        <v>33</v>
      </c>
      <c r="B117" t="s">
        <v>17</v>
      </c>
      <c r="C117" t="s">
        <v>18</v>
      </c>
      <c r="D117" t="s">
        <v>12</v>
      </c>
      <c r="E117" s="4">
        <v>40000</v>
      </c>
      <c r="F117" s="3">
        <v>41755.96</v>
      </c>
      <c r="G117" s="3">
        <f>tblData[[#This Row],[Actual]]-tblData[[#This Row],[Budget]]</f>
        <v>1755.9599999999991</v>
      </c>
      <c r="H117" s="1">
        <f>IF(tblData[[#This Row],[Budget]]=0,0,tblData[[#This Row],[Variance]]/tblData[[#This Row],[Budget]])</f>
        <v>4.389899999999998E-2</v>
      </c>
      <c r="I117" t="str">
        <f>IF(tblData[[#This Row],[Type]]="Revenue",IF(tblData[[#This Row],[Variance]]&gt;=0,"Favourable","Adverse"),IF(tblData[[#This Row],[Variance]]&lt;=0,"Favourable","Adverse"))</f>
        <v>Adverse</v>
      </c>
      <c r="J117" t="str">
        <f>"Q"&amp;ROUNDUP(VALUE(RIGHT(tblData[[#This Row],[Month]],2))/3,0)</f>
        <v>Q3</v>
      </c>
      <c r="K117" t="str">
        <f>_xlfn.XLOOKUP(tblData[[#This Row],[Department]], tblOwners[Department], tblOwners[Budget Owner], "Not found")</f>
        <v>Siobhan Kelly</v>
      </c>
    </row>
    <row r="118" spans="1:11" x14ac:dyDescent="0.3">
      <c r="A118" t="s">
        <v>33</v>
      </c>
      <c r="B118" t="s">
        <v>17</v>
      </c>
      <c r="C118" t="s">
        <v>19</v>
      </c>
      <c r="D118" t="s">
        <v>12</v>
      </c>
      <c r="E118" s="4">
        <v>55000</v>
      </c>
      <c r="F118" s="3">
        <v>53038.54</v>
      </c>
      <c r="G118" s="3">
        <f>tblData[[#This Row],[Actual]]-tblData[[#This Row],[Budget]]</f>
        <v>-1961.4599999999991</v>
      </c>
      <c r="H118" s="1">
        <f>IF(tblData[[#This Row],[Budget]]=0,0,tblData[[#This Row],[Variance]]/tblData[[#This Row],[Budget]])</f>
        <v>-3.5662909090909078E-2</v>
      </c>
      <c r="I118" t="str">
        <f>IF(tblData[[#This Row],[Type]]="Revenue",IF(tblData[[#This Row],[Variance]]&gt;=0,"Favourable","Adverse"),IF(tblData[[#This Row],[Variance]]&lt;=0,"Favourable","Adverse"))</f>
        <v>Favourable</v>
      </c>
      <c r="J118" t="str">
        <f>"Q"&amp;ROUNDUP(VALUE(RIGHT(tblData[[#This Row],[Month]],2))/3,0)</f>
        <v>Q3</v>
      </c>
      <c r="K118" t="str">
        <f>_xlfn.XLOOKUP(tblData[[#This Row],[Department]], tblOwners[Department], tblOwners[Budget Owner], "Not found")</f>
        <v>Siobhan Kelly</v>
      </c>
    </row>
    <row r="119" spans="1:11" x14ac:dyDescent="0.3">
      <c r="A119" t="s">
        <v>33</v>
      </c>
      <c r="B119" t="s">
        <v>17</v>
      </c>
      <c r="C119" t="s">
        <v>11</v>
      </c>
      <c r="D119" t="s">
        <v>12</v>
      </c>
      <c r="E119" s="4">
        <v>70000</v>
      </c>
      <c r="F119" s="3">
        <v>68656.52</v>
      </c>
      <c r="G119" s="3">
        <f>tblData[[#This Row],[Actual]]-tblData[[#This Row],[Budget]]</f>
        <v>-1343.4799999999959</v>
      </c>
      <c r="H119" s="1">
        <f>IF(tblData[[#This Row],[Budget]]=0,0,tblData[[#This Row],[Variance]]/tblData[[#This Row],[Budget]])</f>
        <v>-1.9192571428571371E-2</v>
      </c>
      <c r="I119" t="str">
        <f>IF(tblData[[#This Row],[Type]]="Revenue",IF(tblData[[#This Row],[Variance]]&gt;=0,"Favourable","Adverse"),IF(tblData[[#This Row],[Variance]]&lt;=0,"Favourable","Adverse"))</f>
        <v>Favourable</v>
      </c>
      <c r="J119" t="str">
        <f>"Q"&amp;ROUNDUP(VALUE(RIGHT(tblData[[#This Row],[Month]],2))/3,0)</f>
        <v>Q3</v>
      </c>
      <c r="K119" t="str">
        <f>_xlfn.XLOOKUP(tblData[[#This Row],[Department]], tblOwners[Department], tblOwners[Budget Owner], "Not found")</f>
        <v>Siobhan Kelly</v>
      </c>
    </row>
    <row r="120" spans="1:11" x14ac:dyDescent="0.3">
      <c r="A120" t="s">
        <v>33</v>
      </c>
      <c r="B120" t="s">
        <v>20</v>
      </c>
      <c r="C120" t="s">
        <v>21</v>
      </c>
      <c r="D120" t="s">
        <v>12</v>
      </c>
      <c r="E120" s="4">
        <v>18000</v>
      </c>
      <c r="F120" s="3">
        <v>22359.67</v>
      </c>
      <c r="G120" s="3">
        <f>tblData[[#This Row],[Actual]]-tblData[[#This Row],[Budget]]</f>
        <v>4359.6699999999983</v>
      </c>
      <c r="H120" s="1">
        <f>IF(tblData[[#This Row],[Budget]]=0,0,tblData[[#This Row],[Variance]]/tblData[[#This Row],[Budget]])</f>
        <v>0.2422038888888888</v>
      </c>
      <c r="I120" t="str">
        <f>IF(tblData[[#This Row],[Type]]="Revenue",IF(tblData[[#This Row],[Variance]]&gt;=0,"Favourable","Adverse"),IF(tblData[[#This Row],[Variance]]&lt;=0,"Favourable","Adverse"))</f>
        <v>Adverse</v>
      </c>
      <c r="J120" t="str">
        <f>"Q"&amp;ROUNDUP(VALUE(RIGHT(tblData[[#This Row],[Month]],2))/3,0)</f>
        <v>Q3</v>
      </c>
      <c r="K120" t="str">
        <f>_xlfn.XLOOKUP(tblData[[#This Row],[Department]], tblOwners[Department], tblOwners[Budget Owner], "Not found")</f>
        <v>Ravi Sharma</v>
      </c>
    </row>
    <row r="121" spans="1:11" x14ac:dyDescent="0.3">
      <c r="A121" t="s">
        <v>33</v>
      </c>
      <c r="B121" t="s">
        <v>20</v>
      </c>
      <c r="C121" t="s">
        <v>22</v>
      </c>
      <c r="D121" t="s">
        <v>12</v>
      </c>
      <c r="E121" s="4">
        <v>8000</v>
      </c>
      <c r="F121" s="3">
        <v>7669.6</v>
      </c>
      <c r="G121" s="3">
        <f>tblData[[#This Row],[Actual]]-tblData[[#This Row],[Budget]]</f>
        <v>-330.39999999999964</v>
      </c>
      <c r="H121" s="1">
        <f>IF(tblData[[#This Row],[Budget]]=0,0,tblData[[#This Row],[Variance]]/tblData[[#This Row],[Budget]])</f>
        <v>-4.1299999999999955E-2</v>
      </c>
      <c r="I121" t="str">
        <f>IF(tblData[[#This Row],[Type]]="Revenue",IF(tblData[[#This Row],[Variance]]&gt;=0,"Favourable","Adverse"),IF(tblData[[#This Row],[Variance]]&lt;=0,"Favourable","Adverse"))</f>
        <v>Favourable</v>
      </c>
      <c r="J121" t="str">
        <f>"Q"&amp;ROUNDUP(VALUE(RIGHT(tblData[[#This Row],[Month]],2))/3,0)</f>
        <v>Q3</v>
      </c>
      <c r="K121" t="str">
        <f>_xlfn.XLOOKUP(tblData[[#This Row],[Department]], tblOwners[Department], tblOwners[Budget Owner], "Not found")</f>
        <v>Ravi Sharma</v>
      </c>
    </row>
    <row r="122" spans="1:11" x14ac:dyDescent="0.3">
      <c r="A122" t="s">
        <v>33</v>
      </c>
      <c r="B122" t="s">
        <v>20</v>
      </c>
      <c r="C122" t="s">
        <v>11</v>
      </c>
      <c r="D122" t="s">
        <v>12</v>
      </c>
      <c r="E122" s="4">
        <v>35000</v>
      </c>
      <c r="F122" s="3">
        <v>35666.910000000003</v>
      </c>
      <c r="G122" s="3">
        <f>tblData[[#This Row],[Actual]]-tblData[[#This Row],[Budget]]</f>
        <v>666.91000000000349</v>
      </c>
      <c r="H122" s="1">
        <f>IF(tblData[[#This Row],[Budget]]=0,0,tblData[[#This Row],[Variance]]/tblData[[#This Row],[Budget]])</f>
        <v>1.9054571428571528E-2</v>
      </c>
      <c r="I122" t="str">
        <f>IF(tblData[[#This Row],[Type]]="Revenue",IF(tblData[[#This Row],[Variance]]&gt;=0,"Favourable","Adverse"),IF(tblData[[#This Row],[Variance]]&lt;=0,"Favourable","Adverse"))</f>
        <v>Adverse</v>
      </c>
      <c r="J122" t="str">
        <f>"Q"&amp;ROUNDUP(VALUE(RIGHT(tblData[[#This Row],[Month]],2))/3,0)</f>
        <v>Q3</v>
      </c>
      <c r="K122" t="str">
        <f>_xlfn.XLOOKUP(tblData[[#This Row],[Department]], tblOwners[Department], tblOwners[Budget Owner], "Not found")</f>
        <v>Ravi Sharma</v>
      </c>
    </row>
    <row r="123" spans="1:11" x14ac:dyDescent="0.3">
      <c r="A123" t="s">
        <v>33</v>
      </c>
      <c r="B123" t="s">
        <v>23</v>
      </c>
      <c r="C123" t="s">
        <v>24</v>
      </c>
      <c r="D123" t="s">
        <v>12</v>
      </c>
      <c r="E123" s="4">
        <v>6000</v>
      </c>
      <c r="F123" s="3">
        <v>5960</v>
      </c>
      <c r="G123" s="3">
        <f>tblData[[#This Row],[Actual]]-tblData[[#This Row],[Budget]]</f>
        <v>-40</v>
      </c>
      <c r="H123" s="1">
        <f>IF(tblData[[#This Row],[Budget]]=0,0,tblData[[#This Row],[Variance]]/tblData[[#This Row],[Budget]])</f>
        <v>-6.6666666666666671E-3</v>
      </c>
      <c r="I123" t="str">
        <f>IF(tblData[[#This Row],[Type]]="Revenue",IF(tblData[[#This Row],[Variance]]&gt;=0,"Favourable","Adverse"),IF(tblData[[#This Row],[Variance]]&lt;=0,"Favourable","Adverse"))</f>
        <v>Favourable</v>
      </c>
      <c r="J123" t="str">
        <f>"Q"&amp;ROUNDUP(VALUE(RIGHT(tblData[[#This Row],[Month]],2))/3,0)</f>
        <v>Q3</v>
      </c>
      <c r="K123" t="str">
        <f>_xlfn.XLOOKUP(tblData[[#This Row],[Department]], tblOwners[Department], tblOwners[Budget Owner], "Not found")</f>
        <v>Niamh Walsh</v>
      </c>
    </row>
    <row r="124" spans="1:11" x14ac:dyDescent="0.3">
      <c r="A124" t="s">
        <v>33</v>
      </c>
      <c r="B124" t="s">
        <v>23</v>
      </c>
      <c r="C124" t="s">
        <v>25</v>
      </c>
      <c r="D124" t="s">
        <v>12</v>
      </c>
      <c r="E124" s="4">
        <v>5000</v>
      </c>
      <c r="F124" s="3">
        <v>4779.38</v>
      </c>
      <c r="G124" s="3">
        <f>tblData[[#This Row],[Actual]]-tblData[[#This Row],[Budget]]</f>
        <v>-220.61999999999989</v>
      </c>
      <c r="H124" s="1">
        <f>IF(tblData[[#This Row],[Budget]]=0,0,tblData[[#This Row],[Variance]]/tblData[[#This Row],[Budget]])</f>
        <v>-4.4123999999999976E-2</v>
      </c>
      <c r="I124" t="str">
        <f>IF(tblData[[#This Row],[Type]]="Revenue",IF(tblData[[#This Row],[Variance]]&gt;=0,"Favourable","Adverse"),IF(tblData[[#This Row],[Variance]]&lt;=0,"Favourable","Adverse"))</f>
        <v>Favourable</v>
      </c>
      <c r="J124" t="str">
        <f>"Q"&amp;ROUNDUP(VALUE(RIGHT(tblData[[#This Row],[Month]],2))/3,0)</f>
        <v>Q3</v>
      </c>
      <c r="K124" t="str">
        <f>_xlfn.XLOOKUP(tblData[[#This Row],[Department]], tblOwners[Department], tblOwners[Budget Owner], "Not found")</f>
        <v>Niamh Walsh</v>
      </c>
    </row>
    <row r="125" spans="1:11" x14ac:dyDescent="0.3">
      <c r="A125" t="s">
        <v>33</v>
      </c>
      <c r="B125" t="s">
        <v>23</v>
      </c>
      <c r="C125" t="s">
        <v>11</v>
      </c>
      <c r="D125" t="s">
        <v>12</v>
      </c>
      <c r="E125" s="4">
        <v>20000</v>
      </c>
      <c r="F125" s="3">
        <v>19390.650000000001</v>
      </c>
      <c r="G125" s="3">
        <f>tblData[[#This Row],[Actual]]-tblData[[#This Row],[Budget]]</f>
        <v>-609.34999999999854</v>
      </c>
      <c r="H125" s="1">
        <f>IF(tblData[[#This Row],[Budget]]=0,0,tblData[[#This Row],[Variance]]/tblData[[#This Row],[Budget]])</f>
        <v>-3.0467499999999929E-2</v>
      </c>
      <c r="I125" t="str">
        <f>IF(tblData[[#This Row],[Type]]="Revenue",IF(tblData[[#This Row],[Variance]]&gt;=0,"Favourable","Adverse"),IF(tblData[[#This Row],[Variance]]&lt;=0,"Favourable","Adverse"))</f>
        <v>Favourable</v>
      </c>
      <c r="J125" t="str">
        <f>"Q"&amp;ROUNDUP(VALUE(RIGHT(tblData[[#This Row],[Month]],2))/3,0)</f>
        <v>Q3</v>
      </c>
      <c r="K125" t="str">
        <f>_xlfn.XLOOKUP(tblData[[#This Row],[Department]], tblOwners[Department], tblOwners[Budget Owner], "Not found")</f>
        <v>Niamh Walsh</v>
      </c>
    </row>
    <row r="126" spans="1:11" x14ac:dyDescent="0.3">
      <c r="A126" t="s">
        <v>33</v>
      </c>
      <c r="B126" t="s">
        <v>26</v>
      </c>
      <c r="C126" t="s">
        <v>27</v>
      </c>
      <c r="D126" t="s">
        <v>12</v>
      </c>
      <c r="E126" s="4">
        <v>7000</v>
      </c>
      <c r="F126" s="3">
        <v>7065.84</v>
      </c>
      <c r="G126" s="3">
        <f>tblData[[#This Row],[Actual]]-tblData[[#This Row],[Budget]]</f>
        <v>65.840000000000146</v>
      </c>
      <c r="H126" s="1">
        <f>IF(tblData[[#This Row],[Budget]]=0,0,tblData[[#This Row],[Variance]]/tblData[[#This Row],[Budget]])</f>
        <v>9.4057142857143072E-3</v>
      </c>
      <c r="I126" t="str">
        <f>IF(tblData[[#This Row],[Type]]="Revenue",IF(tblData[[#This Row],[Variance]]&gt;=0,"Favourable","Adverse"),IF(tblData[[#This Row],[Variance]]&lt;=0,"Favourable","Adverse"))</f>
        <v>Adverse</v>
      </c>
      <c r="J126" t="str">
        <f>"Q"&amp;ROUNDUP(VALUE(RIGHT(tblData[[#This Row],[Month]],2))/3,0)</f>
        <v>Q3</v>
      </c>
      <c r="K126" t="str">
        <f>_xlfn.XLOOKUP(tblData[[#This Row],[Department]], tblOwners[Department], tblOwners[Budget Owner], "Not found")</f>
        <v>Conor Murphy</v>
      </c>
    </row>
    <row r="127" spans="1:11" x14ac:dyDescent="0.3">
      <c r="A127" t="s">
        <v>33</v>
      </c>
      <c r="B127" t="s">
        <v>26</v>
      </c>
      <c r="C127" t="s">
        <v>11</v>
      </c>
      <c r="D127" t="s">
        <v>12</v>
      </c>
      <c r="E127" s="4">
        <v>25000</v>
      </c>
      <c r="F127" s="3">
        <v>25628.59</v>
      </c>
      <c r="G127" s="3">
        <f>tblData[[#This Row],[Actual]]-tblData[[#This Row],[Budget]]</f>
        <v>628.59000000000015</v>
      </c>
      <c r="H127" s="1">
        <f>IF(tblData[[#This Row],[Budget]]=0,0,tblData[[#This Row],[Variance]]/tblData[[#This Row],[Budget]])</f>
        <v>2.5143600000000006E-2</v>
      </c>
      <c r="I127" t="str">
        <f>IF(tblData[[#This Row],[Type]]="Revenue",IF(tblData[[#This Row],[Variance]]&gt;=0,"Favourable","Adverse"),IF(tblData[[#This Row],[Variance]]&lt;=0,"Favourable","Adverse"))</f>
        <v>Adverse</v>
      </c>
      <c r="J127" t="str">
        <f>"Q"&amp;ROUNDUP(VALUE(RIGHT(tblData[[#This Row],[Month]],2))/3,0)</f>
        <v>Q3</v>
      </c>
      <c r="K127" t="str">
        <f>_xlfn.XLOOKUP(tblData[[#This Row],[Department]], tblOwners[Department], tblOwners[Budget Owner], "Not found")</f>
        <v>Conor Murphy</v>
      </c>
    </row>
    <row r="128" spans="1:11" x14ac:dyDescent="0.3">
      <c r="A128" t="s">
        <v>34</v>
      </c>
      <c r="B128" t="s">
        <v>7</v>
      </c>
      <c r="C128" t="s">
        <v>8</v>
      </c>
      <c r="D128" t="s">
        <v>9</v>
      </c>
      <c r="E128" s="4">
        <v>399000</v>
      </c>
      <c r="F128" s="3">
        <v>422900.87</v>
      </c>
      <c r="G128" s="3">
        <f>tblData[[#This Row],[Actual]]-tblData[[#This Row],[Budget]]</f>
        <v>23900.869999999995</v>
      </c>
      <c r="H128" s="1">
        <f>IF(tblData[[#This Row],[Budget]]=0,0,tblData[[#This Row],[Variance]]/tblData[[#This Row],[Budget]])</f>
        <v>5.9901929824561391E-2</v>
      </c>
      <c r="I128" t="str">
        <f>IF(tblData[[#This Row],[Type]]="Revenue",IF(tblData[[#This Row],[Variance]]&gt;=0,"Favourable","Adverse"),IF(tblData[[#This Row],[Variance]]&lt;=0,"Favourable","Adverse"))</f>
        <v>Favourable</v>
      </c>
      <c r="J128" t="str">
        <f>"Q"&amp;ROUNDUP(VALUE(RIGHT(tblData[[#This Row],[Month]],2))/3,0)</f>
        <v>Q3</v>
      </c>
      <c r="K128" t="str">
        <f>_xlfn.XLOOKUP(tblData[[#This Row],[Department]], tblOwners[Department], tblOwners[Budget Owner], "Not found")</f>
        <v>Aoife Byrne</v>
      </c>
    </row>
    <row r="129" spans="1:11" x14ac:dyDescent="0.3">
      <c r="A129" t="s">
        <v>34</v>
      </c>
      <c r="B129" t="s">
        <v>7</v>
      </c>
      <c r="C129" t="s">
        <v>10</v>
      </c>
      <c r="D129" t="s">
        <v>9</v>
      </c>
      <c r="E129" s="4">
        <v>57000</v>
      </c>
      <c r="F129" s="3">
        <v>61982.7</v>
      </c>
      <c r="G129" s="3">
        <f>tblData[[#This Row],[Actual]]-tblData[[#This Row],[Budget]]</f>
        <v>4982.6999999999971</v>
      </c>
      <c r="H129" s="1">
        <f>IF(tblData[[#This Row],[Budget]]=0,0,tblData[[#This Row],[Variance]]/tblData[[#This Row],[Budget]])</f>
        <v>8.7415789473684155E-2</v>
      </c>
      <c r="I129" t="str">
        <f>IF(tblData[[#This Row],[Type]]="Revenue",IF(tblData[[#This Row],[Variance]]&gt;=0,"Favourable","Adverse"),IF(tblData[[#This Row],[Variance]]&lt;=0,"Favourable","Adverse"))</f>
        <v>Favourable</v>
      </c>
      <c r="J129" t="str">
        <f>"Q"&amp;ROUNDUP(VALUE(RIGHT(tblData[[#This Row],[Month]],2))/3,0)</f>
        <v>Q3</v>
      </c>
      <c r="K129" t="str">
        <f>_xlfn.XLOOKUP(tblData[[#This Row],[Department]], tblOwners[Department], tblOwners[Budget Owner], "Not found")</f>
        <v>Aoife Byrne</v>
      </c>
    </row>
    <row r="130" spans="1:11" x14ac:dyDescent="0.3">
      <c r="A130" t="s">
        <v>34</v>
      </c>
      <c r="B130" t="s">
        <v>7</v>
      </c>
      <c r="C130" t="s">
        <v>11</v>
      </c>
      <c r="D130" t="s">
        <v>12</v>
      </c>
      <c r="E130" s="4">
        <v>85000</v>
      </c>
      <c r="F130" s="3">
        <v>86056.74</v>
      </c>
      <c r="G130" s="3">
        <f>tblData[[#This Row],[Actual]]-tblData[[#This Row],[Budget]]</f>
        <v>1056.7400000000052</v>
      </c>
      <c r="H130" s="1">
        <f>IF(tblData[[#This Row],[Budget]]=0,0,tblData[[#This Row],[Variance]]/tblData[[#This Row],[Budget]])</f>
        <v>1.2432235294117709E-2</v>
      </c>
      <c r="I130" t="str">
        <f>IF(tblData[[#This Row],[Type]]="Revenue",IF(tblData[[#This Row],[Variance]]&gt;=0,"Favourable","Adverse"),IF(tblData[[#This Row],[Variance]]&lt;=0,"Favourable","Adverse"))</f>
        <v>Adverse</v>
      </c>
      <c r="J130" t="str">
        <f>"Q"&amp;ROUNDUP(VALUE(RIGHT(tblData[[#This Row],[Month]],2))/3,0)</f>
        <v>Q3</v>
      </c>
      <c r="K130" t="str">
        <f>_xlfn.XLOOKUP(tblData[[#This Row],[Department]], tblOwners[Department], tblOwners[Budget Owner], "Not found")</f>
        <v>Aoife Byrne</v>
      </c>
    </row>
    <row r="131" spans="1:11" x14ac:dyDescent="0.3">
      <c r="A131" t="s">
        <v>34</v>
      </c>
      <c r="B131" t="s">
        <v>7</v>
      </c>
      <c r="C131" t="s">
        <v>13</v>
      </c>
      <c r="D131" t="s">
        <v>12</v>
      </c>
      <c r="E131" s="4">
        <v>12000</v>
      </c>
      <c r="F131" s="3">
        <v>7720.77</v>
      </c>
      <c r="G131" s="3">
        <f>tblData[[#This Row],[Actual]]-tblData[[#This Row],[Budget]]</f>
        <v>-4279.2299999999996</v>
      </c>
      <c r="H131" s="1">
        <f>IF(tblData[[#This Row],[Budget]]=0,0,tblData[[#This Row],[Variance]]/tblData[[#This Row],[Budget]])</f>
        <v>-0.35660249999999999</v>
      </c>
      <c r="I131" t="str">
        <f>IF(tblData[[#This Row],[Type]]="Revenue",IF(tblData[[#This Row],[Variance]]&gt;=0,"Favourable","Adverse"),IF(tblData[[#This Row],[Variance]]&lt;=0,"Favourable","Adverse"))</f>
        <v>Favourable</v>
      </c>
      <c r="J131" t="str">
        <f>"Q"&amp;ROUNDUP(VALUE(RIGHT(tblData[[#This Row],[Month]],2))/3,0)</f>
        <v>Q3</v>
      </c>
      <c r="K131" t="str">
        <f>_xlfn.XLOOKUP(tblData[[#This Row],[Department]], tblOwners[Department], tblOwners[Budget Owner], "Not found")</f>
        <v>Aoife Byrne</v>
      </c>
    </row>
    <row r="132" spans="1:11" x14ac:dyDescent="0.3">
      <c r="A132" t="s">
        <v>34</v>
      </c>
      <c r="B132" t="s">
        <v>14</v>
      </c>
      <c r="C132" t="s">
        <v>15</v>
      </c>
      <c r="D132" t="s">
        <v>12</v>
      </c>
      <c r="E132" s="4">
        <v>45000</v>
      </c>
      <c r="F132" s="3">
        <v>45361.41</v>
      </c>
      <c r="G132" s="3">
        <f>tblData[[#This Row],[Actual]]-tblData[[#This Row],[Budget]]</f>
        <v>361.41000000000349</v>
      </c>
      <c r="H132" s="1">
        <f>IF(tblData[[#This Row],[Budget]]=0,0,tblData[[#This Row],[Variance]]/tblData[[#This Row],[Budget]])</f>
        <v>8.0313333333334111E-3</v>
      </c>
      <c r="I132" t="str">
        <f>IF(tblData[[#This Row],[Type]]="Revenue",IF(tblData[[#This Row],[Variance]]&gt;=0,"Favourable","Adverse"),IF(tblData[[#This Row],[Variance]]&lt;=0,"Favourable","Adverse"))</f>
        <v>Adverse</v>
      </c>
      <c r="J132" t="str">
        <f>"Q"&amp;ROUNDUP(VALUE(RIGHT(tblData[[#This Row],[Month]],2))/3,0)</f>
        <v>Q3</v>
      </c>
      <c r="K132" t="str">
        <f>_xlfn.XLOOKUP(tblData[[#This Row],[Department]], tblOwners[Department], tblOwners[Budget Owner], "Not found")</f>
        <v>Liam O'Connor</v>
      </c>
    </row>
    <row r="133" spans="1:11" x14ac:dyDescent="0.3">
      <c r="A133" t="s">
        <v>34</v>
      </c>
      <c r="B133" t="s">
        <v>14</v>
      </c>
      <c r="C133" t="s">
        <v>16</v>
      </c>
      <c r="D133" t="s">
        <v>12</v>
      </c>
      <c r="E133" s="4">
        <v>10000</v>
      </c>
      <c r="F133" s="3">
        <v>9756.1200000000008</v>
      </c>
      <c r="G133" s="3">
        <f>tblData[[#This Row],[Actual]]-tblData[[#This Row],[Budget]]</f>
        <v>-243.8799999999992</v>
      </c>
      <c r="H133" s="1">
        <f>IF(tblData[[#This Row],[Budget]]=0,0,tblData[[#This Row],[Variance]]/tblData[[#This Row],[Budget]])</f>
        <v>-2.438799999999992E-2</v>
      </c>
      <c r="I133" t="str">
        <f>IF(tblData[[#This Row],[Type]]="Revenue",IF(tblData[[#This Row],[Variance]]&gt;=0,"Favourable","Adverse"),IF(tblData[[#This Row],[Variance]]&lt;=0,"Favourable","Adverse"))</f>
        <v>Favourable</v>
      </c>
      <c r="J133" t="str">
        <f>"Q"&amp;ROUNDUP(VALUE(RIGHT(tblData[[#This Row],[Month]],2))/3,0)</f>
        <v>Q3</v>
      </c>
      <c r="K133" t="str">
        <f>_xlfn.XLOOKUP(tblData[[#This Row],[Department]], tblOwners[Department], tblOwners[Budget Owner], "Not found")</f>
        <v>Liam O'Connor</v>
      </c>
    </row>
    <row r="134" spans="1:11" x14ac:dyDescent="0.3">
      <c r="A134" t="s">
        <v>34</v>
      </c>
      <c r="B134" t="s">
        <v>14</v>
      </c>
      <c r="C134" t="s">
        <v>11</v>
      </c>
      <c r="D134" t="s">
        <v>12</v>
      </c>
      <c r="E134" s="4">
        <v>30000</v>
      </c>
      <c r="F134" s="3">
        <v>29626.18</v>
      </c>
      <c r="G134" s="3">
        <f>tblData[[#This Row],[Actual]]-tblData[[#This Row],[Budget]]</f>
        <v>-373.81999999999971</v>
      </c>
      <c r="H134" s="1">
        <f>IF(tblData[[#This Row],[Budget]]=0,0,tblData[[#This Row],[Variance]]/tblData[[#This Row],[Budget]])</f>
        <v>-1.2460666666666656E-2</v>
      </c>
      <c r="I134" t="str">
        <f>IF(tblData[[#This Row],[Type]]="Revenue",IF(tblData[[#This Row],[Variance]]&gt;=0,"Favourable","Adverse"),IF(tblData[[#This Row],[Variance]]&lt;=0,"Favourable","Adverse"))</f>
        <v>Favourable</v>
      </c>
      <c r="J134" t="str">
        <f>"Q"&amp;ROUNDUP(VALUE(RIGHT(tblData[[#This Row],[Month]],2))/3,0)</f>
        <v>Q3</v>
      </c>
      <c r="K134" t="str">
        <f>_xlfn.XLOOKUP(tblData[[#This Row],[Department]], tblOwners[Department], tblOwners[Budget Owner], "Not found")</f>
        <v>Liam O'Connor</v>
      </c>
    </row>
    <row r="135" spans="1:11" x14ac:dyDescent="0.3">
      <c r="A135" t="s">
        <v>34</v>
      </c>
      <c r="B135" t="s">
        <v>17</v>
      </c>
      <c r="C135" t="s">
        <v>18</v>
      </c>
      <c r="D135" t="s">
        <v>12</v>
      </c>
      <c r="E135" s="4">
        <v>40000</v>
      </c>
      <c r="F135" s="3">
        <v>39265.480000000003</v>
      </c>
      <c r="G135" s="3">
        <f>tblData[[#This Row],[Actual]]-tblData[[#This Row],[Budget]]</f>
        <v>-734.5199999999968</v>
      </c>
      <c r="H135" s="1">
        <f>IF(tblData[[#This Row],[Budget]]=0,0,tblData[[#This Row],[Variance]]/tblData[[#This Row],[Budget]])</f>
        <v>-1.8362999999999921E-2</v>
      </c>
      <c r="I135" t="str">
        <f>IF(tblData[[#This Row],[Type]]="Revenue",IF(tblData[[#This Row],[Variance]]&gt;=0,"Favourable","Adverse"),IF(tblData[[#This Row],[Variance]]&lt;=0,"Favourable","Adverse"))</f>
        <v>Favourable</v>
      </c>
      <c r="J135" t="str">
        <f>"Q"&amp;ROUNDUP(VALUE(RIGHT(tblData[[#This Row],[Month]],2))/3,0)</f>
        <v>Q3</v>
      </c>
      <c r="K135" t="str">
        <f>_xlfn.XLOOKUP(tblData[[#This Row],[Department]], tblOwners[Department], tblOwners[Budget Owner], "Not found")</f>
        <v>Siobhan Kelly</v>
      </c>
    </row>
    <row r="136" spans="1:11" x14ac:dyDescent="0.3">
      <c r="A136" t="s">
        <v>34</v>
      </c>
      <c r="B136" t="s">
        <v>17</v>
      </c>
      <c r="C136" t="s">
        <v>19</v>
      </c>
      <c r="D136" t="s">
        <v>12</v>
      </c>
      <c r="E136" s="4">
        <v>55000</v>
      </c>
      <c r="F136" s="3">
        <v>54767.7</v>
      </c>
      <c r="G136" s="3">
        <f>tblData[[#This Row],[Actual]]-tblData[[#This Row],[Budget]]</f>
        <v>-232.30000000000291</v>
      </c>
      <c r="H136" s="1">
        <f>IF(tblData[[#This Row],[Budget]]=0,0,tblData[[#This Row],[Variance]]/tblData[[#This Row],[Budget]])</f>
        <v>-4.2236363636364163E-3</v>
      </c>
      <c r="I136" t="str">
        <f>IF(tblData[[#This Row],[Type]]="Revenue",IF(tblData[[#This Row],[Variance]]&gt;=0,"Favourable","Adverse"),IF(tblData[[#This Row],[Variance]]&lt;=0,"Favourable","Adverse"))</f>
        <v>Favourable</v>
      </c>
      <c r="J136" t="str">
        <f>"Q"&amp;ROUNDUP(VALUE(RIGHT(tblData[[#This Row],[Month]],2))/3,0)</f>
        <v>Q3</v>
      </c>
      <c r="K136" t="str">
        <f>_xlfn.XLOOKUP(tblData[[#This Row],[Department]], tblOwners[Department], tblOwners[Budget Owner], "Not found")</f>
        <v>Siobhan Kelly</v>
      </c>
    </row>
    <row r="137" spans="1:11" x14ac:dyDescent="0.3">
      <c r="A137" t="s">
        <v>34</v>
      </c>
      <c r="B137" t="s">
        <v>17</v>
      </c>
      <c r="C137" t="s">
        <v>11</v>
      </c>
      <c r="D137" t="s">
        <v>12</v>
      </c>
      <c r="E137" s="4">
        <v>70000</v>
      </c>
      <c r="F137" s="3">
        <v>72238.559999999998</v>
      </c>
      <c r="G137" s="3">
        <f>tblData[[#This Row],[Actual]]-tblData[[#This Row],[Budget]]</f>
        <v>2238.5599999999977</v>
      </c>
      <c r="H137" s="1">
        <f>IF(tblData[[#This Row],[Budget]]=0,0,tblData[[#This Row],[Variance]]/tblData[[#This Row],[Budget]])</f>
        <v>3.1979428571428541E-2</v>
      </c>
      <c r="I137" t="str">
        <f>IF(tblData[[#This Row],[Type]]="Revenue",IF(tblData[[#This Row],[Variance]]&gt;=0,"Favourable","Adverse"),IF(tblData[[#This Row],[Variance]]&lt;=0,"Favourable","Adverse"))</f>
        <v>Adverse</v>
      </c>
      <c r="J137" t="str">
        <f>"Q"&amp;ROUNDUP(VALUE(RIGHT(tblData[[#This Row],[Month]],2))/3,0)</f>
        <v>Q3</v>
      </c>
      <c r="K137" t="str">
        <f>_xlfn.XLOOKUP(tblData[[#This Row],[Department]], tblOwners[Department], tblOwners[Budget Owner], "Not found")</f>
        <v>Siobhan Kelly</v>
      </c>
    </row>
    <row r="138" spans="1:11" x14ac:dyDescent="0.3">
      <c r="A138" t="s">
        <v>34</v>
      </c>
      <c r="B138" t="s">
        <v>20</v>
      </c>
      <c r="C138" t="s">
        <v>21</v>
      </c>
      <c r="D138" t="s">
        <v>12</v>
      </c>
      <c r="E138" s="4">
        <v>18000</v>
      </c>
      <c r="F138" s="3">
        <v>22442.89</v>
      </c>
      <c r="G138" s="3">
        <f>tblData[[#This Row],[Actual]]-tblData[[#This Row],[Budget]]</f>
        <v>4442.8899999999994</v>
      </c>
      <c r="H138" s="1">
        <f>IF(tblData[[#This Row],[Budget]]=0,0,tblData[[#This Row],[Variance]]/tblData[[#This Row],[Budget]])</f>
        <v>0.2468272222222222</v>
      </c>
      <c r="I138" t="str">
        <f>IF(tblData[[#This Row],[Type]]="Revenue",IF(tblData[[#This Row],[Variance]]&gt;=0,"Favourable","Adverse"),IF(tblData[[#This Row],[Variance]]&lt;=0,"Favourable","Adverse"))</f>
        <v>Adverse</v>
      </c>
      <c r="J138" t="str">
        <f>"Q"&amp;ROUNDUP(VALUE(RIGHT(tblData[[#This Row],[Month]],2))/3,0)</f>
        <v>Q3</v>
      </c>
      <c r="K138" t="str">
        <f>_xlfn.XLOOKUP(tblData[[#This Row],[Department]], tblOwners[Department], tblOwners[Budget Owner], "Not found")</f>
        <v>Ravi Sharma</v>
      </c>
    </row>
    <row r="139" spans="1:11" x14ac:dyDescent="0.3">
      <c r="A139" t="s">
        <v>34</v>
      </c>
      <c r="B139" t="s">
        <v>20</v>
      </c>
      <c r="C139" t="s">
        <v>22</v>
      </c>
      <c r="D139" t="s">
        <v>12</v>
      </c>
      <c r="E139" s="4">
        <v>8000</v>
      </c>
      <c r="F139" s="3">
        <v>7751.44</v>
      </c>
      <c r="G139" s="3">
        <f>tblData[[#This Row],[Actual]]-tblData[[#This Row],[Budget]]</f>
        <v>-248.5600000000004</v>
      </c>
      <c r="H139" s="1">
        <f>IF(tblData[[#This Row],[Budget]]=0,0,tblData[[#This Row],[Variance]]/tblData[[#This Row],[Budget]])</f>
        <v>-3.1070000000000049E-2</v>
      </c>
      <c r="I139" t="str">
        <f>IF(tblData[[#This Row],[Type]]="Revenue",IF(tblData[[#This Row],[Variance]]&gt;=0,"Favourable","Adverse"),IF(tblData[[#This Row],[Variance]]&lt;=0,"Favourable","Adverse"))</f>
        <v>Favourable</v>
      </c>
      <c r="J139" t="str">
        <f>"Q"&amp;ROUNDUP(VALUE(RIGHT(tblData[[#This Row],[Month]],2))/3,0)</f>
        <v>Q3</v>
      </c>
      <c r="K139" t="str">
        <f>_xlfn.XLOOKUP(tblData[[#This Row],[Department]], tblOwners[Department], tblOwners[Budget Owner], "Not found")</f>
        <v>Ravi Sharma</v>
      </c>
    </row>
    <row r="140" spans="1:11" x14ac:dyDescent="0.3">
      <c r="A140" t="s">
        <v>34</v>
      </c>
      <c r="B140" t="s">
        <v>20</v>
      </c>
      <c r="C140" t="s">
        <v>11</v>
      </c>
      <c r="D140" t="s">
        <v>12</v>
      </c>
      <c r="E140" s="4">
        <v>35000</v>
      </c>
      <c r="F140" s="3">
        <v>33241.58</v>
      </c>
      <c r="G140" s="3">
        <f>tblData[[#This Row],[Actual]]-tblData[[#This Row],[Budget]]</f>
        <v>-1758.4199999999983</v>
      </c>
      <c r="H140" s="1">
        <f>IF(tblData[[#This Row],[Budget]]=0,0,tblData[[#This Row],[Variance]]/tblData[[#This Row],[Budget]])</f>
        <v>-5.0240571428571378E-2</v>
      </c>
      <c r="I140" t="str">
        <f>IF(tblData[[#This Row],[Type]]="Revenue",IF(tblData[[#This Row],[Variance]]&gt;=0,"Favourable","Adverse"),IF(tblData[[#This Row],[Variance]]&lt;=0,"Favourable","Adverse"))</f>
        <v>Favourable</v>
      </c>
      <c r="J140" t="str">
        <f>"Q"&amp;ROUNDUP(VALUE(RIGHT(tblData[[#This Row],[Month]],2))/3,0)</f>
        <v>Q3</v>
      </c>
      <c r="K140" t="str">
        <f>_xlfn.XLOOKUP(tblData[[#This Row],[Department]], tblOwners[Department], tblOwners[Budget Owner], "Not found")</f>
        <v>Ravi Sharma</v>
      </c>
    </row>
    <row r="141" spans="1:11" x14ac:dyDescent="0.3">
      <c r="A141" t="s">
        <v>34</v>
      </c>
      <c r="B141" t="s">
        <v>23</v>
      </c>
      <c r="C141" t="s">
        <v>24</v>
      </c>
      <c r="D141" t="s">
        <v>12</v>
      </c>
      <c r="E141" s="4">
        <v>6000</v>
      </c>
      <c r="F141" s="3">
        <v>5912.46</v>
      </c>
      <c r="G141" s="3">
        <f>tblData[[#This Row],[Actual]]-tblData[[#This Row],[Budget]]</f>
        <v>-87.539999999999964</v>
      </c>
      <c r="H141" s="1">
        <f>IF(tblData[[#This Row],[Budget]]=0,0,tblData[[#This Row],[Variance]]/tblData[[#This Row],[Budget]])</f>
        <v>-1.4589999999999994E-2</v>
      </c>
      <c r="I141" t="str">
        <f>IF(tblData[[#This Row],[Type]]="Revenue",IF(tblData[[#This Row],[Variance]]&gt;=0,"Favourable","Adverse"),IF(tblData[[#This Row],[Variance]]&lt;=0,"Favourable","Adverse"))</f>
        <v>Favourable</v>
      </c>
      <c r="J141" t="str">
        <f>"Q"&amp;ROUNDUP(VALUE(RIGHT(tblData[[#This Row],[Month]],2))/3,0)</f>
        <v>Q3</v>
      </c>
      <c r="K141" t="str">
        <f>_xlfn.XLOOKUP(tblData[[#This Row],[Department]], tblOwners[Department], tblOwners[Budget Owner], "Not found")</f>
        <v>Niamh Walsh</v>
      </c>
    </row>
    <row r="142" spans="1:11" x14ac:dyDescent="0.3">
      <c r="A142" t="s">
        <v>34</v>
      </c>
      <c r="B142" t="s">
        <v>23</v>
      </c>
      <c r="C142" t="s">
        <v>25</v>
      </c>
      <c r="D142" t="s">
        <v>12</v>
      </c>
      <c r="E142" s="4">
        <v>5000</v>
      </c>
      <c r="F142" s="3">
        <v>4991.93</v>
      </c>
      <c r="G142" s="3">
        <f>tblData[[#This Row],[Actual]]-tblData[[#This Row],[Budget]]</f>
        <v>-8.069999999999709</v>
      </c>
      <c r="H142" s="1">
        <f>IF(tblData[[#This Row],[Budget]]=0,0,tblData[[#This Row],[Variance]]/tblData[[#This Row],[Budget]])</f>
        <v>-1.6139999999999419E-3</v>
      </c>
      <c r="I142" t="str">
        <f>IF(tblData[[#This Row],[Type]]="Revenue",IF(tblData[[#This Row],[Variance]]&gt;=0,"Favourable","Adverse"),IF(tblData[[#This Row],[Variance]]&lt;=0,"Favourable","Adverse"))</f>
        <v>Favourable</v>
      </c>
      <c r="J142" t="str">
        <f>"Q"&amp;ROUNDUP(VALUE(RIGHT(tblData[[#This Row],[Month]],2))/3,0)</f>
        <v>Q3</v>
      </c>
      <c r="K142" t="str">
        <f>_xlfn.XLOOKUP(tblData[[#This Row],[Department]], tblOwners[Department], tblOwners[Budget Owner], "Not found")</f>
        <v>Niamh Walsh</v>
      </c>
    </row>
    <row r="143" spans="1:11" x14ac:dyDescent="0.3">
      <c r="A143" t="s">
        <v>34</v>
      </c>
      <c r="B143" t="s">
        <v>23</v>
      </c>
      <c r="C143" t="s">
        <v>11</v>
      </c>
      <c r="D143" t="s">
        <v>12</v>
      </c>
      <c r="E143" s="4">
        <v>20000</v>
      </c>
      <c r="F143" s="3">
        <v>21060.76</v>
      </c>
      <c r="G143" s="3">
        <f>tblData[[#This Row],[Actual]]-tblData[[#This Row],[Budget]]</f>
        <v>1060.7599999999984</v>
      </c>
      <c r="H143" s="1">
        <f>IF(tblData[[#This Row],[Budget]]=0,0,tblData[[#This Row],[Variance]]/tblData[[#This Row],[Budget]])</f>
        <v>5.3037999999999919E-2</v>
      </c>
      <c r="I143" t="str">
        <f>IF(tblData[[#This Row],[Type]]="Revenue",IF(tblData[[#This Row],[Variance]]&gt;=0,"Favourable","Adverse"),IF(tblData[[#This Row],[Variance]]&lt;=0,"Favourable","Adverse"))</f>
        <v>Adverse</v>
      </c>
      <c r="J143" t="str">
        <f>"Q"&amp;ROUNDUP(VALUE(RIGHT(tblData[[#This Row],[Month]],2))/3,0)</f>
        <v>Q3</v>
      </c>
      <c r="K143" t="str">
        <f>_xlfn.XLOOKUP(tblData[[#This Row],[Department]], tblOwners[Department], tblOwners[Budget Owner], "Not found")</f>
        <v>Niamh Walsh</v>
      </c>
    </row>
    <row r="144" spans="1:11" x14ac:dyDescent="0.3">
      <c r="A144" t="s">
        <v>34</v>
      </c>
      <c r="B144" t="s">
        <v>26</v>
      </c>
      <c r="C144" t="s">
        <v>27</v>
      </c>
      <c r="D144" t="s">
        <v>12</v>
      </c>
      <c r="E144" s="4">
        <v>7000</v>
      </c>
      <c r="F144" s="3">
        <v>7027.36</v>
      </c>
      <c r="G144" s="3">
        <f>tblData[[#This Row],[Actual]]-tblData[[#This Row],[Budget]]</f>
        <v>27.359999999999673</v>
      </c>
      <c r="H144" s="1">
        <f>IF(tblData[[#This Row],[Budget]]=0,0,tblData[[#This Row],[Variance]]/tblData[[#This Row],[Budget]])</f>
        <v>3.9085714285713819E-3</v>
      </c>
      <c r="I144" t="str">
        <f>IF(tblData[[#This Row],[Type]]="Revenue",IF(tblData[[#This Row],[Variance]]&gt;=0,"Favourable","Adverse"),IF(tblData[[#This Row],[Variance]]&lt;=0,"Favourable","Adverse"))</f>
        <v>Adverse</v>
      </c>
      <c r="J144" t="str">
        <f>"Q"&amp;ROUNDUP(VALUE(RIGHT(tblData[[#This Row],[Month]],2))/3,0)</f>
        <v>Q3</v>
      </c>
      <c r="K144" t="str">
        <f>_xlfn.XLOOKUP(tblData[[#This Row],[Department]], tblOwners[Department], tblOwners[Budget Owner], "Not found")</f>
        <v>Conor Murphy</v>
      </c>
    </row>
    <row r="145" spans="1:11" x14ac:dyDescent="0.3">
      <c r="A145" t="s">
        <v>34</v>
      </c>
      <c r="B145" t="s">
        <v>26</v>
      </c>
      <c r="C145" t="s">
        <v>11</v>
      </c>
      <c r="D145" t="s">
        <v>12</v>
      </c>
      <c r="E145" s="4">
        <v>25000</v>
      </c>
      <c r="F145" s="3">
        <v>25737.05</v>
      </c>
      <c r="G145" s="3">
        <f>tblData[[#This Row],[Actual]]-tblData[[#This Row],[Budget]]</f>
        <v>737.04999999999927</v>
      </c>
      <c r="H145" s="1">
        <f>IF(tblData[[#This Row],[Budget]]=0,0,tblData[[#This Row],[Variance]]/tblData[[#This Row],[Budget]])</f>
        <v>2.948199999999997E-2</v>
      </c>
      <c r="I145" t="str">
        <f>IF(tblData[[#This Row],[Type]]="Revenue",IF(tblData[[#This Row],[Variance]]&gt;=0,"Favourable","Adverse"),IF(tblData[[#This Row],[Variance]]&lt;=0,"Favourable","Adverse"))</f>
        <v>Adverse</v>
      </c>
      <c r="J145" t="str">
        <f>"Q"&amp;ROUNDUP(VALUE(RIGHT(tblData[[#This Row],[Month]],2))/3,0)</f>
        <v>Q3</v>
      </c>
      <c r="K145" t="str">
        <f>_xlfn.XLOOKUP(tblData[[#This Row],[Department]], tblOwners[Department], tblOwners[Budget Owner], "Not found")</f>
        <v>Conor Murphy</v>
      </c>
    </row>
    <row r="146" spans="1:11" x14ac:dyDescent="0.3">
      <c r="A146" t="s">
        <v>35</v>
      </c>
      <c r="B146" t="s">
        <v>7</v>
      </c>
      <c r="C146" t="s">
        <v>8</v>
      </c>
      <c r="D146" t="s">
        <v>9</v>
      </c>
      <c r="E146" s="4">
        <v>420000</v>
      </c>
      <c r="F146" s="3">
        <v>413708.88</v>
      </c>
      <c r="G146" s="3">
        <f>tblData[[#This Row],[Actual]]-tblData[[#This Row],[Budget]]</f>
        <v>-6291.1199999999953</v>
      </c>
      <c r="H146" s="1">
        <f>IF(tblData[[#This Row],[Budget]]=0,0,tblData[[#This Row],[Variance]]/tblData[[#This Row],[Budget]])</f>
        <v>-1.4978857142857132E-2</v>
      </c>
      <c r="I146" t="str">
        <f>IF(tblData[[#This Row],[Type]]="Revenue",IF(tblData[[#This Row],[Variance]]&gt;=0,"Favourable","Adverse"),IF(tblData[[#This Row],[Variance]]&lt;=0,"Favourable","Adverse"))</f>
        <v>Adverse</v>
      </c>
      <c r="J146" t="str">
        <f>"Q"&amp;ROUNDUP(VALUE(RIGHT(tblData[[#This Row],[Month]],2))/3,0)</f>
        <v>Q3</v>
      </c>
      <c r="K146" t="str">
        <f>_xlfn.XLOOKUP(tblData[[#This Row],[Department]], tblOwners[Department], tblOwners[Budget Owner], "Not found")</f>
        <v>Aoife Byrne</v>
      </c>
    </row>
    <row r="147" spans="1:11" x14ac:dyDescent="0.3">
      <c r="A147" t="s">
        <v>35</v>
      </c>
      <c r="B147" t="s">
        <v>7</v>
      </c>
      <c r="C147" t="s">
        <v>10</v>
      </c>
      <c r="D147" t="s">
        <v>9</v>
      </c>
      <c r="E147" s="4">
        <v>60000</v>
      </c>
      <c r="F147" s="3">
        <v>57867.1</v>
      </c>
      <c r="G147" s="3">
        <f>tblData[[#This Row],[Actual]]-tblData[[#This Row],[Budget]]</f>
        <v>-2132.9000000000015</v>
      </c>
      <c r="H147" s="1">
        <f>IF(tblData[[#This Row],[Budget]]=0,0,tblData[[#This Row],[Variance]]/tblData[[#This Row],[Budget]])</f>
        <v>-3.5548333333333355E-2</v>
      </c>
      <c r="I147" t="str">
        <f>IF(tblData[[#This Row],[Type]]="Revenue",IF(tblData[[#This Row],[Variance]]&gt;=0,"Favourable","Adverse"),IF(tblData[[#This Row],[Variance]]&lt;=0,"Favourable","Adverse"))</f>
        <v>Adverse</v>
      </c>
      <c r="J147" t="str">
        <f>"Q"&amp;ROUNDUP(VALUE(RIGHT(tblData[[#This Row],[Month]],2))/3,0)</f>
        <v>Q3</v>
      </c>
      <c r="K147" t="str">
        <f>_xlfn.XLOOKUP(tblData[[#This Row],[Department]], tblOwners[Department], tblOwners[Budget Owner], "Not found")</f>
        <v>Aoife Byrne</v>
      </c>
    </row>
    <row r="148" spans="1:11" x14ac:dyDescent="0.3">
      <c r="A148" t="s">
        <v>35</v>
      </c>
      <c r="B148" t="s">
        <v>7</v>
      </c>
      <c r="C148" t="s">
        <v>11</v>
      </c>
      <c r="D148" t="s">
        <v>12</v>
      </c>
      <c r="E148" s="4">
        <v>85000</v>
      </c>
      <c r="F148" s="3">
        <v>82538.95</v>
      </c>
      <c r="G148" s="3">
        <f>tblData[[#This Row],[Actual]]-tblData[[#This Row],[Budget]]</f>
        <v>-2461.0500000000029</v>
      </c>
      <c r="H148" s="1">
        <f>IF(tblData[[#This Row],[Budget]]=0,0,tblData[[#This Row],[Variance]]/tblData[[#This Row],[Budget]])</f>
        <v>-2.8953529411764739E-2</v>
      </c>
      <c r="I148" t="str">
        <f>IF(tblData[[#This Row],[Type]]="Revenue",IF(tblData[[#This Row],[Variance]]&gt;=0,"Favourable","Adverse"),IF(tblData[[#This Row],[Variance]]&lt;=0,"Favourable","Adverse"))</f>
        <v>Favourable</v>
      </c>
      <c r="J148" t="str">
        <f>"Q"&amp;ROUNDUP(VALUE(RIGHT(tblData[[#This Row],[Month]],2))/3,0)</f>
        <v>Q3</v>
      </c>
      <c r="K148" t="str">
        <f>_xlfn.XLOOKUP(tblData[[#This Row],[Department]], tblOwners[Department], tblOwners[Budget Owner], "Not found")</f>
        <v>Aoife Byrne</v>
      </c>
    </row>
    <row r="149" spans="1:11" x14ac:dyDescent="0.3">
      <c r="A149" t="s">
        <v>35</v>
      </c>
      <c r="B149" t="s">
        <v>7</v>
      </c>
      <c r="C149" t="s">
        <v>13</v>
      </c>
      <c r="D149" t="s">
        <v>12</v>
      </c>
      <c r="E149" s="4">
        <v>12000</v>
      </c>
      <c r="F149" s="3">
        <v>10277.08</v>
      </c>
      <c r="G149" s="3">
        <f>tblData[[#This Row],[Actual]]-tblData[[#This Row],[Budget]]</f>
        <v>-1722.92</v>
      </c>
      <c r="H149" s="1">
        <f>IF(tblData[[#This Row],[Budget]]=0,0,tblData[[#This Row],[Variance]]/tblData[[#This Row],[Budget]])</f>
        <v>-0.14357666666666669</v>
      </c>
      <c r="I149" t="str">
        <f>IF(tblData[[#This Row],[Type]]="Revenue",IF(tblData[[#This Row],[Variance]]&gt;=0,"Favourable","Adverse"),IF(tblData[[#This Row],[Variance]]&lt;=0,"Favourable","Adverse"))</f>
        <v>Favourable</v>
      </c>
      <c r="J149" t="str">
        <f>"Q"&amp;ROUNDUP(VALUE(RIGHT(tblData[[#This Row],[Month]],2))/3,0)</f>
        <v>Q3</v>
      </c>
      <c r="K149" t="str">
        <f>_xlfn.XLOOKUP(tblData[[#This Row],[Department]], tblOwners[Department], tblOwners[Budget Owner], "Not found")</f>
        <v>Aoife Byrne</v>
      </c>
    </row>
    <row r="150" spans="1:11" x14ac:dyDescent="0.3">
      <c r="A150" t="s">
        <v>35</v>
      </c>
      <c r="B150" t="s">
        <v>14</v>
      </c>
      <c r="C150" t="s">
        <v>15</v>
      </c>
      <c r="D150" t="s">
        <v>12</v>
      </c>
      <c r="E150" s="4">
        <v>45000</v>
      </c>
      <c r="F150" s="3">
        <v>43891.13</v>
      </c>
      <c r="G150" s="3">
        <f>tblData[[#This Row],[Actual]]-tblData[[#This Row],[Budget]]</f>
        <v>-1108.8700000000026</v>
      </c>
      <c r="H150" s="1">
        <f>IF(tblData[[#This Row],[Budget]]=0,0,tblData[[#This Row],[Variance]]/tblData[[#This Row],[Budget]])</f>
        <v>-2.4641555555555614E-2</v>
      </c>
      <c r="I150" t="str">
        <f>IF(tblData[[#This Row],[Type]]="Revenue",IF(tblData[[#This Row],[Variance]]&gt;=0,"Favourable","Adverse"),IF(tblData[[#This Row],[Variance]]&lt;=0,"Favourable","Adverse"))</f>
        <v>Favourable</v>
      </c>
      <c r="J150" t="str">
        <f>"Q"&amp;ROUNDUP(VALUE(RIGHT(tblData[[#This Row],[Month]],2))/3,0)</f>
        <v>Q3</v>
      </c>
      <c r="K150" t="str">
        <f>_xlfn.XLOOKUP(tblData[[#This Row],[Department]], tblOwners[Department], tblOwners[Budget Owner], "Not found")</f>
        <v>Liam O'Connor</v>
      </c>
    </row>
    <row r="151" spans="1:11" x14ac:dyDescent="0.3">
      <c r="A151" t="s">
        <v>35</v>
      </c>
      <c r="B151" t="s">
        <v>14</v>
      </c>
      <c r="C151" t="s">
        <v>16</v>
      </c>
      <c r="D151" t="s">
        <v>12</v>
      </c>
      <c r="E151" s="4">
        <v>10000</v>
      </c>
      <c r="F151" s="3">
        <v>10251.549999999999</v>
      </c>
      <c r="G151" s="3">
        <f>tblData[[#This Row],[Actual]]-tblData[[#This Row],[Budget]]</f>
        <v>251.54999999999927</v>
      </c>
      <c r="H151" s="1">
        <f>IF(tblData[[#This Row],[Budget]]=0,0,tblData[[#This Row],[Variance]]/tblData[[#This Row],[Budget]])</f>
        <v>2.5154999999999927E-2</v>
      </c>
      <c r="I151" t="str">
        <f>IF(tblData[[#This Row],[Type]]="Revenue",IF(tblData[[#This Row],[Variance]]&gt;=0,"Favourable","Adverse"),IF(tblData[[#This Row],[Variance]]&lt;=0,"Favourable","Adverse"))</f>
        <v>Adverse</v>
      </c>
      <c r="J151" t="str">
        <f>"Q"&amp;ROUNDUP(VALUE(RIGHT(tblData[[#This Row],[Month]],2))/3,0)</f>
        <v>Q3</v>
      </c>
      <c r="K151" t="str">
        <f>_xlfn.XLOOKUP(tblData[[#This Row],[Department]], tblOwners[Department], tblOwners[Budget Owner], "Not found")</f>
        <v>Liam O'Connor</v>
      </c>
    </row>
    <row r="152" spans="1:11" x14ac:dyDescent="0.3">
      <c r="A152" t="s">
        <v>35</v>
      </c>
      <c r="B152" t="s">
        <v>14</v>
      </c>
      <c r="C152" t="s">
        <v>11</v>
      </c>
      <c r="D152" t="s">
        <v>12</v>
      </c>
      <c r="E152" s="4">
        <v>30000</v>
      </c>
      <c r="F152" s="3">
        <v>29187.37</v>
      </c>
      <c r="G152" s="3">
        <f>tblData[[#This Row],[Actual]]-tblData[[#This Row],[Budget]]</f>
        <v>-812.63000000000102</v>
      </c>
      <c r="H152" s="1">
        <f>IF(tblData[[#This Row],[Budget]]=0,0,tblData[[#This Row],[Variance]]/tblData[[#This Row],[Budget]])</f>
        <v>-2.7087666666666701E-2</v>
      </c>
      <c r="I152" t="str">
        <f>IF(tblData[[#This Row],[Type]]="Revenue",IF(tblData[[#This Row],[Variance]]&gt;=0,"Favourable","Adverse"),IF(tblData[[#This Row],[Variance]]&lt;=0,"Favourable","Adverse"))</f>
        <v>Favourable</v>
      </c>
      <c r="J152" t="str">
        <f>"Q"&amp;ROUNDUP(VALUE(RIGHT(tblData[[#This Row],[Month]],2))/3,0)</f>
        <v>Q3</v>
      </c>
      <c r="K152" t="str">
        <f>_xlfn.XLOOKUP(tblData[[#This Row],[Department]], tblOwners[Department], tblOwners[Budget Owner], "Not found")</f>
        <v>Liam O'Connor</v>
      </c>
    </row>
    <row r="153" spans="1:11" x14ac:dyDescent="0.3">
      <c r="A153" t="s">
        <v>35</v>
      </c>
      <c r="B153" t="s">
        <v>17</v>
      </c>
      <c r="C153" t="s">
        <v>18</v>
      </c>
      <c r="D153" t="s">
        <v>12</v>
      </c>
      <c r="E153" s="4">
        <v>40000</v>
      </c>
      <c r="F153" s="3">
        <v>41117.89</v>
      </c>
      <c r="G153" s="3">
        <f>tblData[[#This Row],[Actual]]-tblData[[#This Row],[Budget]]</f>
        <v>1117.8899999999994</v>
      </c>
      <c r="H153" s="1">
        <f>IF(tblData[[#This Row],[Budget]]=0,0,tblData[[#This Row],[Variance]]/tblData[[#This Row],[Budget]])</f>
        <v>2.7947249999999986E-2</v>
      </c>
      <c r="I153" t="str">
        <f>IF(tblData[[#This Row],[Type]]="Revenue",IF(tblData[[#This Row],[Variance]]&gt;=0,"Favourable","Adverse"),IF(tblData[[#This Row],[Variance]]&lt;=0,"Favourable","Adverse"))</f>
        <v>Adverse</v>
      </c>
      <c r="J153" t="str">
        <f>"Q"&amp;ROUNDUP(VALUE(RIGHT(tblData[[#This Row],[Month]],2))/3,0)</f>
        <v>Q3</v>
      </c>
      <c r="K153" t="str">
        <f>_xlfn.XLOOKUP(tblData[[#This Row],[Department]], tblOwners[Department], tblOwners[Budget Owner], "Not found")</f>
        <v>Siobhan Kelly</v>
      </c>
    </row>
    <row r="154" spans="1:11" x14ac:dyDescent="0.3">
      <c r="A154" t="s">
        <v>35</v>
      </c>
      <c r="B154" t="s">
        <v>17</v>
      </c>
      <c r="C154" t="s">
        <v>19</v>
      </c>
      <c r="D154" t="s">
        <v>12</v>
      </c>
      <c r="E154" s="4">
        <v>55000</v>
      </c>
      <c r="F154" s="3">
        <v>55635.17</v>
      </c>
      <c r="G154" s="3">
        <f>tblData[[#This Row],[Actual]]-tblData[[#This Row],[Budget]]</f>
        <v>635.16999999999825</v>
      </c>
      <c r="H154" s="1">
        <f>IF(tblData[[#This Row],[Budget]]=0,0,tblData[[#This Row],[Variance]]/tblData[[#This Row],[Budget]])</f>
        <v>1.1548545454545422E-2</v>
      </c>
      <c r="I154" t="str">
        <f>IF(tblData[[#This Row],[Type]]="Revenue",IF(tblData[[#This Row],[Variance]]&gt;=0,"Favourable","Adverse"),IF(tblData[[#This Row],[Variance]]&lt;=0,"Favourable","Adverse"))</f>
        <v>Adverse</v>
      </c>
      <c r="J154" t="str">
        <f>"Q"&amp;ROUNDUP(VALUE(RIGHT(tblData[[#This Row],[Month]],2))/3,0)</f>
        <v>Q3</v>
      </c>
      <c r="K154" t="str">
        <f>_xlfn.XLOOKUP(tblData[[#This Row],[Department]], tblOwners[Department], tblOwners[Budget Owner], "Not found")</f>
        <v>Siobhan Kelly</v>
      </c>
    </row>
    <row r="155" spans="1:11" x14ac:dyDescent="0.3">
      <c r="A155" t="s">
        <v>35</v>
      </c>
      <c r="B155" t="s">
        <v>17</v>
      </c>
      <c r="C155" t="s">
        <v>11</v>
      </c>
      <c r="D155" t="s">
        <v>12</v>
      </c>
      <c r="E155" s="4">
        <v>70000</v>
      </c>
      <c r="F155" s="3">
        <v>69671.06</v>
      </c>
      <c r="G155" s="3">
        <f>tblData[[#This Row],[Actual]]-tblData[[#This Row],[Budget]]</f>
        <v>-328.94000000000233</v>
      </c>
      <c r="H155" s="1">
        <f>IF(tblData[[#This Row],[Budget]]=0,0,tblData[[#This Row],[Variance]]/tblData[[#This Row],[Budget]])</f>
        <v>-4.6991428571428904E-3</v>
      </c>
      <c r="I155" t="str">
        <f>IF(tblData[[#This Row],[Type]]="Revenue",IF(tblData[[#This Row],[Variance]]&gt;=0,"Favourable","Adverse"),IF(tblData[[#This Row],[Variance]]&lt;=0,"Favourable","Adverse"))</f>
        <v>Favourable</v>
      </c>
      <c r="J155" t="str">
        <f>"Q"&amp;ROUNDUP(VALUE(RIGHT(tblData[[#This Row],[Month]],2))/3,0)</f>
        <v>Q3</v>
      </c>
      <c r="K155" t="str">
        <f>_xlfn.XLOOKUP(tblData[[#This Row],[Department]], tblOwners[Department], tblOwners[Budget Owner], "Not found")</f>
        <v>Siobhan Kelly</v>
      </c>
    </row>
    <row r="156" spans="1:11" x14ac:dyDescent="0.3">
      <c r="A156" t="s">
        <v>35</v>
      </c>
      <c r="B156" t="s">
        <v>20</v>
      </c>
      <c r="C156" t="s">
        <v>21</v>
      </c>
      <c r="D156" t="s">
        <v>12</v>
      </c>
      <c r="E156" s="4">
        <v>18000</v>
      </c>
      <c r="F156" s="3">
        <v>22264.28</v>
      </c>
      <c r="G156" s="3">
        <f>tblData[[#This Row],[Actual]]-tblData[[#This Row],[Budget]]</f>
        <v>4264.2799999999988</v>
      </c>
      <c r="H156" s="1">
        <f>IF(tblData[[#This Row],[Budget]]=0,0,tblData[[#This Row],[Variance]]/tblData[[#This Row],[Budget]])</f>
        <v>0.23690444444444439</v>
      </c>
      <c r="I156" t="str">
        <f>IF(tblData[[#This Row],[Type]]="Revenue",IF(tblData[[#This Row],[Variance]]&gt;=0,"Favourable","Adverse"),IF(tblData[[#This Row],[Variance]]&lt;=0,"Favourable","Adverse"))</f>
        <v>Adverse</v>
      </c>
      <c r="J156" t="str">
        <f>"Q"&amp;ROUNDUP(VALUE(RIGHT(tblData[[#This Row],[Month]],2))/3,0)</f>
        <v>Q3</v>
      </c>
      <c r="K156" t="str">
        <f>_xlfn.XLOOKUP(tblData[[#This Row],[Department]], tblOwners[Department], tblOwners[Budget Owner], "Not found")</f>
        <v>Ravi Sharma</v>
      </c>
    </row>
    <row r="157" spans="1:11" x14ac:dyDescent="0.3">
      <c r="A157" t="s">
        <v>35</v>
      </c>
      <c r="B157" t="s">
        <v>20</v>
      </c>
      <c r="C157" t="s">
        <v>22</v>
      </c>
      <c r="D157" t="s">
        <v>12</v>
      </c>
      <c r="E157" s="4">
        <v>8000</v>
      </c>
      <c r="F157" s="3">
        <v>8107.06</v>
      </c>
      <c r="G157" s="3">
        <f>tblData[[#This Row],[Actual]]-tblData[[#This Row],[Budget]]</f>
        <v>107.0600000000004</v>
      </c>
      <c r="H157" s="1">
        <f>IF(tblData[[#This Row],[Budget]]=0,0,tblData[[#This Row],[Variance]]/tblData[[#This Row],[Budget]])</f>
        <v>1.3382500000000051E-2</v>
      </c>
      <c r="I157" t="str">
        <f>IF(tblData[[#This Row],[Type]]="Revenue",IF(tblData[[#This Row],[Variance]]&gt;=0,"Favourable","Adverse"),IF(tblData[[#This Row],[Variance]]&lt;=0,"Favourable","Adverse"))</f>
        <v>Adverse</v>
      </c>
      <c r="J157" t="str">
        <f>"Q"&amp;ROUNDUP(VALUE(RIGHT(tblData[[#This Row],[Month]],2))/3,0)</f>
        <v>Q3</v>
      </c>
      <c r="K157" t="str">
        <f>_xlfn.XLOOKUP(tblData[[#This Row],[Department]], tblOwners[Department], tblOwners[Budget Owner], "Not found")</f>
        <v>Ravi Sharma</v>
      </c>
    </row>
    <row r="158" spans="1:11" x14ac:dyDescent="0.3">
      <c r="A158" t="s">
        <v>35</v>
      </c>
      <c r="B158" t="s">
        <v>20</v>
      </c>
      <c r="C158" t="s">
        <v>11</v>
      </c>
      <c r="D158" t="s">
        <v>12</v>
      </c>
      <c r="E158" s="4">
        <v>35000</v>
      </c>
      <c r="F158" s="3">
        <v>34522.269999999997</v>
      </c>
      <c r="G158" s="3">
        <f>tblData[[#This Row],[Actual]]-tblData[[#This Row],[Budget]]</f>
        <v>-477.7300000000032</v>
      </c>
      <c r="H158" s="1">
        <f>IF(tblData[[#This Row],[Budget]]=0,0,tblData[[#This Row],[Variance]]/tblData[[#This Row],[Budget]])</f>
        <v>-1.3649428571428663E-2</v>
      </c>
      <c r="I158" t="str">
        <f>IF(tblData[[#This Row],[Type]]="Revenue",IF(tblData[[#This Row],[Variance]]&gt;=0,"Favourable","Adverse"),IF(tblData[[#This Row],[Variance]]&lt;=0,"Favourable","Adverse"))</f>
        <v>Favourable</v>
      </c>
      <c r="J158" t="str">
        <f>"Q"&amp;ROUNDUP(VALUE(RIGHT(tblData[[#This Row],[Month]],2))/3,0)</f>
        <v>Q3</v>
      </c>
      <c r="K158" t="str">
        <f>_xlfn.XLOOKUP(tblData[[#This Row],[Department]], tblOwners[Department], tblOwners[Budget Owner], "Not found")</f>
        <v>Ravi Sharma</v>
      </c>
    </row>
    <row r="159" spans="1:11" x14ac:dyDescent="0.3">
      <c r="A159" t="s">
        <v>35</v>
      </c>
      <c r="B159" t="s">
        <v>23</v>
      </c>
      <c r="C159" t="s">
        <v>24</v>
      </c>
      <c r="D159" t="s">
        <v>12</v>
      </c>
      <c r="E159" s="4">
        <v>6000</v>
      </c>
      <c r="F159" s="3">
        <v>9216.6200000000008</v>
      </c>
      <c r="G159" s="3">
        <f>tblData[[#This Row],[Actual]]-tblData[[#This Row],[Budget]]</f>
        <v>3216.6200000000008</v>
      </c>
      <c r="H159" s="1">
        <f>IF(tblData[[#This Row],[Budget]]=0,0,tblData[[#This Row],[Variance]]/tblData[[#This Row],[Budget]])</f>
        <v>0.53610333333333349</v>
      </c>
      <c r="I159" t="str">
        <f>IF(tblData[[#This Row],[Type]]="Revenue",IF(tblData[[#This Row],[Variance]]&gt;=0,"Favourable","Adverse"),IF(tblData[[#This Row],[Variance]]&lt;=0,"Favourable","Adverse"))</f>
        <v>Adverse</v>
      </c>
      <c r="J159" t="str">
        <f>"Q"&amp;ROUNDUP(VALUE(RIGHT(tblData[[#This Row],[Month]],2))/3,0)</f>
        <v>Q3</v>
      </c>
      <c r="K159" t="str">
        <f>_xlfn.XLOOKUP(tblData[[#This Row],[Department]], tblOwners[Department], tblOwners[Budget Owner], "Not found")</f>
        <v>Niamh Walsh</v>
      </c>
    </row>
    <row r="160" spans="1:11" x14ac:dyDescent="0.3">
      <c r="A160" t="s">
        <v>35</v>
      </c>
      <c r="B160" t="s">
        <v>23</v>
      </c>
      <c r="C160" t="s">
        <v>25</v>
      </c>
      <c r="D160" t="s">
        <v>12</v>
      </c>
      <c r="E160" s="4">
        <v>5000</v>
      </c>
      <c r="F160" s="3">
        <v>5025.8900000000003</v>
      </c>
      <c r="G160" s="3">
        <f>tblData[[#This Row],[Actual]]-tblData[[#This Row],[Budget]]</f>
        <v>25.890000000000327</v>
      </c>
      <c r="H160" s="1">
        <f>IF(tblData[[#This Row],[Budget]]=0,0,tblData[[#This Row],[Variance]]/tblData[[#This Row],[Budget]])</f>
        <v>5.1780000000000654E-3</v>
      </c>
      <c r="I160" t="str">
        <f>IF(tblData[[#This Row],[Type]]="Revenue",IF(tblData[[#This Row],[Variance]]&gt;=0,"Favourable","Adverse"),IF(tblData[[#This Row],[Variance]]&lt;=0,"Favourable","Adverse"))</f>
        <v>Adverse</v>
      </c>
      <c r="J160" t="str">
        <f>"Q"&amp;ROUNDUP(VALUE(RIGHT(tblData[[#This Row],[Month]],2))/3,0)</f>
        <v>Q3</v>
      </c>
      <c r="K160" t="str">
        <f>_xlfn.XLOOKUP(tblData[[#This Row],[Department]], tblOwners[Department], tblOwners[Budget Owner], "Not found")</f>
        <v>Niamh Walsh</v>
      </c>
    </row>
    <row r="161" spans="1:11" x14ac:dyDescent="0.3">
      <c r="A161" t="s">
        <v>35</v>
      </c>
      <c r="B161" t="s">
        <v>23</v>
      </c>
      <c r="C161" t="s">
        <v>11</v>
      </c>
      <c r="D161" t="s">
        <v>12</v>
      </c>
      <c r="E161" s="4">
        <v>20000</v>
      </c>
      <c r="F161" s="3">
        <v>20947.45</v>
      </c>
      <c r="G161" s="3">
        <f>tblData[[#This Row],[Actual]]-tblData[[#This Row],[Budget]]</f>
        <v>947.45000000000073</v>
      </c>
      <c r="H161" s="1">
        <f>IF(tblData[[#This Row],[Budget]]=0,0,tblData[[#This Row],[Variance]]/tblData[[#This Row],[Budget]])</f>
        <v>4.737250000000004E-2</v>
      </c>
      <c r="I161" t="str">
        <f>IF(tblData[[#This Row],[Type]]="Revenue",IF(tblData[[#This Row],[Variance]]&gt;=0,"Favourable","Adverse"),IF(tblData[[#This Row],[Variance]]&lt;=0,"Favourable","Adverse"))</f>
        <v>Adverse</v>
      </c>
      <c r="J161" t="str">
        <f>"Q"&amp;ROUNDUP(VALUE(RIGHT(tblData[[#This Row],[Month]],2))/3,0)</f>
        <v>Q3</v>
      </c>
      <c r="K161" t="str">
        <f>_xlfn.XLOOKUP(tblData[[#This Row],[Department]], tblOwners[Department], tblOwners[Budget Owner], "Not found")</f>
        <v>Niamh Walsh</v>
      </c>
    </row>
    <row r="162" spans="1:11" x14ac:dyDescent="0.3">
      <c r="A162" t="s">
        <v>35</v>
      </c>
      <c r="B162" t="s">
        <v>26</v>
      </c>
      <c r="C162" t="s">
        <v>27</v>
      </c>
      <c r="D162" t="s">
        <v>12</v>
      </c>
      <c r="E162" s="4">
        <v>7000</v>
      </c>
      <c r="F162" s="3">
        <v>7033.6</v>
      </c>
      <c r="G162" s="3">
        <f>tblData[[#This Row],[Actual]]-tblData[[#This Row],[Budget]]</f>
        <v>33.600000000000364</v>
      </c>
      <c r="H162" s="1">
        <f>IF(tblData[[#This Row],[Budget]]=0,0,tblData[[#This Row],[Variance]]/tblData[[#This Row],[Budget]])</f>
        <v>4.8000000000000516E-3</v>
      </c>
      <c r="I162" t="str">
        <f>IF(tblData[[#This Row],[Type]]="Revenue",IF(tblData[[#This Row],[Variance]]&gt;=0,"Favourable","Adverse"),IF(tblData[[#This Row],[Variance]]&lt;=0,"Favourable","Adverse"))</f>
        <v>Adverse</v>
      </c>
      <c r="J162" t="str">
        <f>"Q"&amp;ROUNDUP(VALUE(RIGHT(tblData[[#This Row],[Month]],2))/3,0)</f>
        <v>Q3</v>
      </c>
      <c r="K162" t="str">
        <f>_xlfn.XLOOKUP(tblData[[#This Row],[Department]], tblOwners[Department], tblOwners[Budget Owner], "Not found")</f>
        <v>Conor Murphy</v>
      </c>
    </row>
    <row r="163" spans="1:11" x14ac:dyDescent="0.3">
      <c r="A163" t="s">
        <v>35</v>
      </c>
      <c r="B163" t="s">
        <v>26</v>
      </c>
      <c r="C163" t="s">
        <v>11</v>
      </c>
      <c r="D163" t="s">
        <v>12</v>
      </c>
      <c r="E163" s="4">
        <v>25000</v>
      </c>
      <c r="F163" s="3">
        <v>24911.02</v>
      </c>
      <c r="G163" s="3">
        <f>tblData[[#This Row],[Actual]]-tblData[[#This Row],[Budget]]</f>
        <v>-88.979999999999563</v>
      </c>
      <c r="H163" s="1">
        <f>IF(tblData[[#This Row],[Budget]]=0,0,tblData[[#This Row],[Variance]]/tblData[[#This Row],[Budget]])</f>
        <v>-3.5591999999999824E-3</v>
      </c>
      <c r="I163" t="str">
        <f>IF(tblData[[#This Row],[Type]]="Revenue",IF(tblData[[#This Row],[Variance]]&gt;=0,"Favourable","Adverse"),IF(tblData[[#This Row],[Variance]]&lt;=0,"Favourable","Adverse"))</f>
        <v>Favourable</v>
      </c>
      <c r="J163" t="str">
        <f>"Q"&amp;ROUNDUP(VALUE(RIGHT(tblData[[#This Row],[Month]],2))/3,0)</f>
        <v>Q3</v>
      </c>
      <c r="K163" t="str">
        <f>_xlfn.XLOOKUP(tblData[[#This Row],[Department]], tblOwners[Department], tblOwners[Budget Owner], "Not found")</f>
        <v>Conor Murphy</v>
      </c>
    </row>
    <row r="164" spans="1:11" x14ac:dyDescent="0.3">
      <c r="A164" t="s">
        <v>36</v>
      </c>
      <c r="B164" t="s">
        <v>7</v>
      </c>
      <c r="C164" t="s">
        <v>8</v>
      </c>
      <c r="D164" t="s">
        <v>9</v>
      </c>
      <c r="E164" s="4">
        <v>462000</v>
      </c>
      <c r="F164" s="3">
        <v>465961.55</v>
      </c>
      <c r="G164" s="3">
        <f>tblData[[#This Row],[Actual]]-tblData[[#This Row],[Budget]]</f>
        <v>3961.5499999999884</v>
      </c>
      <c r="H164" s="1">
        <f>IF(tblData[[#This Row],[Budget]]=0,0,tblData[[#This Row],[Variance]]/tblData[[#This Row],[Budget]])</f>
        <v>8.574783549783525E-3</v>
      </c>
      <c r="I164" t="str">
        <f>IF(tblData[[#This Row],[Type]]="Revenue",IF(tblData[[#This Row],[Variance]]&gt;=0,"Favourable","Adverse"),IF(tblData[[#This Row],[Variance]]&lt;=0,"Favourable","Adverse"))</f>
        <v>Favourable</v>
      </c>
      <c r="J164" t="str">
        <f>"Q"&amp;ROUNDUP(VALUE(RIGHT(tblData[[#This Row],[Month]],2))/3,0)</f>
        <v>Q4</v>
      </c>
      <c r="K164" t="str">
        <f>_xlfn.XLOOKUP(tblData[[#This Row],[Department]], tblOwners[Department], tblOwners[Budget Owner], "Not found")</f>
        <v>Aoife Byrne</v>
      </c>
    </row>
    <row r="165" spans="1:11" x14ac:dyDescent="0.3">
      <c r="A165" t="s">
        <v>36</v>
      </c>
      <c r="B165" t="s">
        <v>7</v>
      </c>
      <c r="C165" t="s">
        <v>10</v>
      </c>
      <c r="D165" t="s">
        <v>9</v>
      </c>
      <c r="E165" s="4">
        <v>66000</v>
      </c>
      <c r="F165" s="3">
        <v>68585.88</v>
      </c>
      <c r="G165" s="3">
        <f>tblData[[#This Row],[Actual]]-tblData[[#This Row],[Budget]]</f>
        <v>2585.8800000000047</v>
      </c>
      <c r="H165" s="1">
        <f>IF(tblData[[#This Row],[Budget]]=0,0,tblData[[#This Row],[Variance]]/tblData[[#This Row],[Budget]])</f>
        <v>3.9180000000000069E-2</v>
      </c>
      <c r="I165" t="str">
        <f>IF(tblData[[#This Row],[Type]]="Revenue",IF(tblData[[#This Row],[Variance]]&gt;=0,"Favourable","Adverse"),IF(tblData[[#This Row],[Variance]]&lt;=0,"Favourable","Adverse"))</f>
        <v>Favourable</v>
      </c>
      <c r="J165" t="str">
        <f>"Q"&amp;ROUNDUP(VALUE(RIGHT(tblData[[#This Row],[Month]],2))/3,0)</f>
        <v>Q4</v>
      </c>
      <c r="K165" t="str">
        <f>_xlfn.XLOOKUP(tblData[[#This Row],[Department]], tblOwners[Department], tblOwners[Budget Owner], "Not found")</f>
        <v>Aoife Byrne</v>
      </c>
    </row>
    <row r="166" spans="1:11" x14ac:dyDescent="0.3">
      <c r="A166" t="s">
        <v>36</v>
      </c>
      <c r="B166" t="s">
        <v>7</v>
      </c>
      <c r="C166" t="s">
        <v>11</v>
      </c>
      <c r="D166" t="s">
        <v>12</v>
      </c>
      <c r="E166" s="4">
        <v>85000</v>
      </c>
      <c r="F166" s="3">
        <v>85559.43</v>
      </c>
      <c r="G166" s="3">
        <f>tblData[[#This Row],[Actual]]-tblData[[#This Row],[Budget]]</f>
        <v>559.42999999999302</v>
      </c>
      <c r="H166" s="1">
        <f>IF(tblData[[#This Row],[Budget]]=0,0,tblData[[#This Row],[Variance]]/tblData[[#This Row],[Budget]])</f>
        <v>6.5815294117646233E-3</v>
      </c>
      <c r="I166" t="str">
        <f>IF(tblData[[#This Row],[Type]]="Revenue",IF(tblData[[#This Row],[Variance]]&gt;=0,"Favourable","Adverse"),IF(tblData[[#This Row],[Variance]]&lt;=0,"Favourable","Adverse"))</f>
        <v>Adverse</v>
      </c>
      <c r="J166" t="str">
        <f>"Q"&amp;ROUNDUP(VALUE(RIGHT(tblData[[#This Row],[Month]],2))/3,0)</f>
        <v>Q4</v>
      </c>
      <c r="K166" t="str">
        <f>_xlfn.XLOOKUP(tblData[[#This Row],[Department]], tblOwners[Department], tblOwners[Budget Owner], "Not found")</f>
        <v>Aoife Byrne</v>
      </c>
    </row>
    <row r="167" spans="1:11" x14ac:dyDescent="0.3">
      <c r="A167" t="s">
        <v>36</v>
      </c>
      <c r="B167" t="s">
        <v>7</v>
      </c>
      <c r="C167" t="s">
        <v>13</v>
      </c>
      <c r="D167" t="s">
        <v>12</v>
      </c>
      <c r="E167" s="4">
        <v>12000</v>
      </c>
      <c r="F167" s="3">
        <v>9663.77</v>
      </c>
      <c r="G167" s="3">
        <f>tblData[[#This Row],[Actual]]-tblData[[#This Row],[Budget]]</f>
        <v>-2336.2299999999996</v>
      </c>
      <c r="H167" s="1">
        <f>IF(tblData[[#This Row],[Budget]]=0,0,tblData[[#This Row],[Variance]]/tblData[[#This Row],[Budget]])</f>
        <v>-0.19468583333333331</v>
      </c>
      <c r="I167" t="str">
        <f>IF(tblData[[#This Row],[Type]]="Revenue",IF(tblData[[#This Row],[Variance]]&gt;=0,"Favourable","Adverse"),IF(tblData[[#This Row],[Variance]]&lt;=0,"Favourable","Adverse"))</f>
        <v>Favourable</v>
      </c>
      <c r="J167" t="str">
        <f>"Q"&amp;ROUNDUP(VALUE(RIGHT(tblData[[#This Row],[Month]],2))/3,0)</f>
        <v>Q4</v>
      </c>
      <c r="K167" t="str">
        <f>_xlfn.XLOOKUP(tblData[[#This Row],[Department]], tblOwners[Department], tblOwners[Budget Owner], "Not found")</f>
        <v>Aoife Byrne</v>
      </c>
    </row>
    <row r="168" spans="1:11" x14ac:dyDescent="0.3">
      <c r="A168" t="s">
        <v>36</v>
      </c>
      <c r="B168" t="s">
        <v>14</v>
      </c>
      <c r="C168" t="s">
        <v>15</v>
      </c>
      <c r="D168" t="s">
        <v>12</v>
      </c>
      <c r="E168" s="4">
        <v>45000</v>
      </c>
      <c r="F168" s="3">
        <v>62823.27</v>
      </c>
      <c r="G168" s="3">
        <f>tblData[[#This Row],[Actual]]-tblData[[#This Row],[Budget]]</f>
        <v>17823.269999999997</v>
      </c>
      <c r="H168" s="1">
        <f>IF(tblData[[#This Row],[Budget]]=0,0,tblData[[#This Row],[Variance]]/tblData[[#This Row],[Budget]])</f>
        <v>0.39607266666666657</v>
      </c>
      <c r="I168" t="str">
        <f>IF(tblData[[#This Row],[Type]]="Revenue",IF(tblData[[#This Row],[Variance]]&gt;=0,"Favourable","Adverse"),IF(tblData[[#This Row],[Variance]]&lt;=0,"Favourable","Adverse"))</f>
        <v>Adverse</v>
      </c>
      <c r="J168" t="str">
        <f>"Q"&amp;ROUNDUP(VALUE(RIGHT(tblData[[#This Row],[Month]],2))/3,0)</f>
        <v>Q4</v>
      </c>
      <c r="K168" t="str">
        <f>_xlfn.XLOOKUP(tblData[[#This Row],[Department]], tblOwners[Department], tblOwners[Budget Owner], "Not found")</f>
        <v>Liam O'Connor</v>
      </c>
    </row>
    <row r="169" spans="1:11" x14ac:dyDescent="0.3">
      <c r="A169" t="s">
        <v>36</v>
      </c>
      <c r="B169" t="s">
        <v>14</v>
      </c>
      <c r="C169" t="s">
        <v>16</v>
      </c>
      <c r="D169" t="s">
        <v>12</v>
      </c>
      <c r="E169" s="4">
        <v>10000</v>
      </c>
      <c r="F169" s="3">
        <v>10054.969999999999</v>
      </c>
      <c r="G169" s="3">
        <f>tblData[[#This Row],[Actual]]-tblData[[#This Row],[Budget]]</f>
        <v>54.969999999999345</v>
      </c>
      <c r="H169" s="1">
        <f>IF(tblData[[#This Row],[Budget]]=0,0,tblData[[#This Row],[Variance]]/tblData[[#This Row],[Budget]])</f>
        <v>5.4969999999999342E-3</v>
      </c>
      <c r="I169" t="str">
        <f>IF(tblData[[#This Row],[Type]]="Revenue",IF(tblData[[#This Row],[Variance]]&gt;=0,"Favourable","Adverse"),IF(tblData[[#This Row],[Variance]]&lt;=0,"Favourable","Adverse"))</f>
        <v>Adverse</v>
      </c>
      <c r="J169" t="str">
        <f>"Q"&amp;ROUNDUP(VALUE(RIGHT(tblData[[#This Row],[Month]],2))/3,0)</f>
        <v>Q4</v>
      </c>
      <c r="K169" t="str">
        <f>_xlfn.XLOOKUP(tblData[[#This Row],[Department]], tblOwners[Department], tblOwners[Budget Owner], "Not found")</f>
        <v>Liam O'Connor</v>
      </c>
    </row>
    <row r="170" spans="1:11" x14ac:dyDescent="0.3">
      <c r="A170" t="s">
        <v>36</v>
      </c>
      <c r="B170" t="s">
        <v>14</v>
      </c>
      <c r="C170" t="s">
        <v>11</v>
      </c>
      <c r="D170" t="s">
        <v>12</v>
      </c>
      <c r="E170" s="4">
        <v>30000</v>
      </c>
      <c r="F170" s="3">
        <v>28897.98</v>
      </c>
      <c r="G170" s="3">
        <f>tblData[[#This Row],[Actual]]-tblData[[#This Row],[Budget]]</f>
        <v>-1102.0200000000004</v>
      </c>
      <c r="H170" s="1">
        <f>IF(tblData[[#This Row],[Budget]]=0,0,tblData[[#This Row],[Variance]]/tblData[[#This Row],[Budget]])</f>
        <v>-3.6734000000000017E-2</v>
      </c>
      <c r="I170" t="str">
        <f>IF(tblData[[#This Row],[Type]]="Revenue",IF(tblData[[#This Row],[Variance]]&gt;=0,"Favourable","Adverse"),IF(tblData[[#This Row],[Variance]]&lt;=0,"Favourable","Adverse"))</f>
        <v>Favourable</v>
      </c>
      <c r="J170" t="str">
        <f>"Q"&amp;ROUNDUP(VALUE(RIGHT(tblData[[#This Row],[Month]],2))/3,0)</f>
        <v>Q4</v>
      </c>
      <c r="K170" t="str">
        <f>_xlfn.XLOOKUP(tblData[[#This Row],[Department]], tblOwners[Department], tblOwners[Budget Owner], "Not found")</f>
        <v>Liam O'Connor</v>
      </c>
    </row>
    <row r="171" spans="1:11" x14ac:dyDescent="0.3">
      <c r="A171" t="s">
        <v>36</v>
      </c>
      <c r="B171" t="s">
        <v>17</v>
      </c>
      <c r="C171" t="s">
        <v>18</v>
      </c>
      <c r="D171" t="s">
        <v>12</v>
      </c>
      <c r="E171" s="4">
        <v>40000</v>
      </c>
      <c r="F171" s="3">
        <v>38358.21</v>
      </c>
      <c r="G171" s="3">
        <f>tblData[[#This Row],[Actual]]-tblData[[#This Row],[Budget]]</f>
        <v>-1641.7900000000009</v>
      </c>
      <c r="H171" s="1">
        <f>IF(tblData[[#This Row],[Budget]]=0,0,tblData[[#This Row],[Variance]]/tblData[[#This Row],[Budget]])</f>
        <v>-4.1044750000000019E-2</v>
      </c>
      <c r="I171" t="str">
        <f>IF(tblData[[#This Row],[Type]]="Revenue",IF(tblData[[#This Row],[Variance]]&gt;=0,"Favourable","Adverse"),IF(tblData[[#This Row],[Variance]]&lt;=0,"Favourable","Adverse"))</f>
        <v>Favourable</v>
      </c>
      <c r="J171" t="str">
        <f>"Q"&amp;ROUNDUP(VALUE(RIGHT(tblData[[#This Row],[Month]],2))/3,0)</f>
        <v>Q4</v>
      </c>
      <c r="K171" t="str">
        <f>_xlfn.XLOOKUP(tblData[[#This Row],[Department]], tblOwners[Department], tblOwners[Budget Owner], "Not found")</f>
        <v>Siobhan Kelly</v>
      </c>
    </row>
    <row r="172" spans="1:11" x14ac:dyDescent="0.3">
      <c r="A172" t="s">
        <v>36</v>
      </c>
      <c r="B172" t="s">
        <v>17</v>
      </c>
      <c r="C172" t="s">
        <v>19</v>
      </c>
      <c r="D172" t="s">
        <v>12</v>
      </c>
      <c r="E172" s="4">
        <v>55000</v>
      </c>
      <c r="F172" s="3">
        <v>57724.03</v>
      </c>
      <c r="G172" s="3">
        <f>tblData[[#This Row],[Actual]]-tblData[[#This Row],[Budget]]</f>
        <v>2724.0299999999988</v>
      </c>
      <c r="H172" s="1">
        <f>IF(tblData[[#This Row],[Budget]]=0,0,tblData[[#This Row],[Variance]]/tblData[[#This Row],[Budget]])</f>
        <v>4.9527818181818159E-2</v>
      </c>
      <c r="I172" t="str">
        <f>IF(tblData[[#This Row],[Type]]="Revenue",IF(tblData[[#This Row],[Variance]]&gt;=0,"Favourable","Adverse"),IF(tblData[[#This Row],[Variance]]&lt;=0,"Favourable","Adverse"))</f>
        <v>Adverse</v>
      </c>
      <c r="J172" t="str">
        <f>"Q"&amp;ROUNDUP(VALUE(RIGHT(tblData[[#This Row],[Month]],2))/3,0)</f>
        <v>Q4</v>
      </c>
      <c r="K172" t="str">
        <f>_xlfn.XLOOKUP(tblData[[#This Row],[Department]], tblOwners[Department], tblOwners[Budget Owner], "Not found")</f>
        <v>Siobhan Kelly</v>
      </c>
    </row>
    <row r="173" spans="1:11" x14ac:dyDescent="0.3">
      <c r="A173" t="s">
        <v>36</v>
      </c>
      <c r="B173" t="s">
        <v>17</v>
      </c>
      <c r="C173" t="s">
        <v>11</v>
      </c>
      <c r="D173" t="s">
        <v>12</v>
      </c>
      <c r="E173" s="4">
        <v>70000</v>
      </c>
      <c r="F173" s="3">
        <v>73619.7</v>
      </c>
      <c r="G173" s="3">
        <f>tblData[[#This Row],[Actual]]-tblData[[#This Row],[Budget]]</f>
        <v>3619.6999999999971</v>
      </c>
      <c r="H173" s="1">
        <f>IF(tblData[[#This Row],[Budget]]=0,0,tblData[[#This Row],[Variance]]/tblData[[#This Row],[Budget]])</f>
        <v>5.1709999999999957E-2</v>
      </c>
      <c r="I173" t="str">
        <f>IF(tblData[[#This Row],[Type]]="Revenue",IF(tblData[[#This Row],[Variance]]&gt;=0,"Favourable","Adverse"),IF(tblData[[#This Row],[Variance]]&lt;=0,"Favourable","Adverse"))</f>
        <v>Adverse</v>
      </c>
      <c r="J173" t="str">
        <f>"Q"&amp;ROUNDUP(VALUE(RIGHT(tblData[[#This Row],[Month]],2))/3,0)</f>
        <v>Q4</v>
      </c>
      <c r="K173" t="str">
        <f>_xlfn.XLOOKUP(tblData[[#This Row],[Department]], tblOwners[Department], tblOwners[Budget Owner], "Not found")</f>
        <v>Siobhan Kelly</v>
      </c>
    </row>
    <row r="174" spans="1:11" x14ac:dyDescent="0.3">
      <c r="A174" t="s">
        <v>36</v>
      </c>
      <c r="B174" t="s">
        <v>20</v>
      </c>
      <c r="C174" t="s">
        <v>21</v>
      </c>
      <c r="D174" t="s">
        <v>12</v>
      </c>
      <c r="E174" s="4">
        <v>18000</v>
      </c>
      <c r="F174" s="3">
        <v>22362.05</v>
      </c>
      <c r="G174" s="3">
        <f>tblData[[#This Row],[Actual]]-tblData[[#This Row],[Budget]]</f>
        <v>4362.0499999999993</v>
      </c>
      <c r="H174" s="1">
        <f>IF(tblData[[#This Row],[Budget]]=0,0,tblData[[#This Row],[Variance]]/tblData[[#This Row],[Budget]])</f>
        <v>0.24233611111111106</v>
      </c>
      <c r="I174" t="str">
        <f>IF(tblData[[#This Row],[Type]]="Revenue",IF(tblData[[#This Row],[Variance]]&gt;=0,"Favourable","Adverse"),IF(tblData[[#This Row],[Variance]]&lt;=0,"Favourable","Adverse"))</f>
        <v>Adverse</v>
      </c>
      <c r="J174" t="str">
        <f>"Q"&amp;ROUNDUP(VALUE(RIGHT(tblData[[#This Row],[Month]],2))/3,0)</f>
        <v>Q4</v>
      </c>
      <c r="K174" t="str">
        <f>_xlfn.XLOOKUP(tblData[[#This Row],[Department]], tblOwners[Department], tblOwners[Budget Owner], "Not found")</f>
        <v>Ravi Sharma</v>
      </c>
    </row>
    <row r="175" spans="1:11" x14ac:dyDescent="0.3">
      <c r="A175" t="s">
        <v>36</v>
      </c>
      <c r="B175" t="s">
        <v>20</v>
      </c>
      <c r="C175" t="s">
        <v>22</v>
      </c>
      <c r="D175" t="s">
        <v>12</v>
      </c>
      <c r="E175" s="4">
        <v>8000</v>
      </c>
      <c r="F175" s="3">
        <v>8350.75</v>
      </c>
      <c r="G175" s="3">
        <f>tblData[[#This Row],[Actual]]-tblData[[#This Row],[Budget]]</f>
        <v>350.75</v>
      </c>
      <c r="H175" s="1">
        <f>IF(tblData[[#This Row],[Budget]]=0,0,tblData[[#This Row],[Variance]]/tblData[[#This Row],[Budget]])</f>
        <v>4.3843750000000001E-2</v>
      </c>
      <c r="I175" t="str">
        <f>IF(tblData[[#This Row],[Type]]="Revenue",IF(tblData[[#This Row],[Variance]]&gt;=0,"Favourable","Adverse"),IF(tblData[[#This Row],[Variance]]&lt;=0,"Favourable","Adverse"))</f>
        <v>Adverse</v>
      </c>
      <c r="J175" t="str">
        <f>"Q"&amp;ROUNDUP(VALUE(RIGHT(tblData[[#This Row],[Month]],2))/3,0)</f>
        <v>Q4</v>
      </c>
      <c r="K175" t="str">
        <f>_xlfn.XLOOKUP(tblData[[#This Row],[Department]], tblOwners[Department], tblOwners[Budget Owner], "Not found")</f>
        <v>Ravi Sharma</v>
      </c>
    </row>
    <row r="176" spans="1:11" x14ac:dyDescent="0.3">
      <c r="A176" t="s">
        <v>36</v>
      </c>
      <c r="B176" t="s">
        <v>20</v>
      </c>
      <c r="C176" t="s">
        <v>11</v>
      </c>
      <c r="D176" t="s">
        <v>12</v>
      </c>
      <c r="E176" s="4">
        <v>35000</v>
      </c>
      <c r="F176" s="3">
        <v>33837.599999999999</v>
      </c>
      <c r="G176" s="3">
        <f>tblData[[#This Row],[Actual]]-tblData[[#This Row],[Budget]]</f>
        <v>-1162.4000000000015</v>
      </c>
      <c r="H176" s="1">
        <f>IF(tblData[[#This Row],[Budget]]=0,0,tblData[[#This Row],[Variance]]/tblData[[#This Row],[Budget]])</f>
        <v>-3.3211428571428614E-2</v>
      </c>
      <c r="I176" t="str">
        <f>IF(tblData[[#This Row],[Type]]="Revenue",IF(tblData[[#This Row],[Variance]]&gt;=0,"Favourable","Adverse"),IF(tblData[[#This Row],[Variance]]&lt;=0,"Favourable","Adverse"))</f>
        <v>Favourable</v>
      </c>
      <c r="J176" t="str">
        <f>"Q"&amp;ROUNDUP(VALUE(RIGHT(tblData[[#This Row],[Month]],2))/3,0)</f>
        <v>Q4</v>
      </c>
      <c r="K176" t="str">
        <f>_xlfn.XLOOKUP(tblData[[#This Row],[Department]], tblOwners[Department], tblOwners[Budget Owner], "Not found")</f>
        <v>Ravi Sharma</v>
      </c>
    </row>
    <row r="177" spans="1:11" x14ac:dyDescent="0.3">
      <c r="A177" t="s">
        <v>36</v>
      </c>
      <c r="B177" t="s">
        <v>23</v>
      </c>
      <c r="C177" t="s">
        <v>24</v>
      </c>
      <c r="D177" t="s">
        <v>12</v>
      </c>
      <c r="E177" s="4">
        <v>6000</v>
      </c>
      <c r="F177" s="3">
        <v>5838.95</v>
      </c>
      <c r="G177" s="3">
        <f>tblData[[#This Row],[Actual]]-tblData[[#This Row],[Budget]]</f>
        <v>-161.05000000000018</v>
      </c>
      <c r="H177" s="1">
        <f>IF(tblData[[#This Row],[Budget]]=0,0,tblData[[#This Row],[Variance]]/tblData[[#This Row],[Budget]])</f>
        <v>-2.6841666666666698E-2</v>
      </c>
      <c r="I177" t="str">
        <f>IF(tblData[[#This Row],[Type]]="Revenue",IF(tblData[[#This Row],[Variance]]&gt;=0,"Favourable","Adverse"),IF(tblData[[#This Row],[Variance]]&lt;=0,"Favourable","Adverse"))</f>
        <v>Favourable</v>
      </c>
      <c r="J177" t="str">
        <f>"Q"&amp;ROUNDUP(VALUE(RIGHT(tblData[[#This Row],[Month]],2))/3,0)</f>
        <v>Q4</v>
      </c>
      <c r="K177" t="str">
        <f>_xlfn.XLOOKUP(tblData[[#This Row],[Department]], tblOwners[Department], tblOwners[Budget Owner], "Not found")</f>
        <v>Niamh Walsh</v>
      </c>
    </row>
    <row r="178" spans="1:11" x14ac:dyDescent="0.3">
      <c r="A178" t="s">
        <v>36</v>
      </c>
      <c r="B178" t="s">
        <v>23</v>
      </c>
      <c r="C178" t="s">
        <v>25</v>
      </c>
      <c r="D178" t="s">
        <v>12</v>
      </c>
      <c r="E178" s="4">
        <v>5000</v>
      </c>
      <c r="F178" s="3">
        <v>5096.5</v>
      </c>
      <c r="G178" s="3">
        <f>tblData[[#This Row],[Actual]]-tblData[[#This Row],[Budget]]</f>
        <v>96.5</v>
      </c>
      <c r="H178" s="1">
        <f>IF(tblData[[#This Row],[Budget]]=0,0,tblData[[#This Row],[Variance]]/tblData[[#This Row],[Budget]])</f>
        <v>1.9300000000000001E-2</v>
      </c>
      <c r="I178" t="str">
        <f>IF(tblData[[#This Row],[Type]]="Revenue",IF(tblData[[#This Row],[Variance]]&gt;=0,"Favourable","Adverse"),IF(tblData[[#This Row],[Variance]]&lt;=0,"Favourable","Adverse"))</f>
        <v>Adverse</v>
      </c>
      <c r="J178" t="str">
        <f>"Q"&amp;ROUNDUP(VALUE(RIGHT(tblData[[#This Row],[Month]],2))/3,0)</f>
        <v>Q4</v>
      </c>
      <c r="K178" t="str">
        <f>_xlfn.XLOOKUP(tblData[[#This Row],[Department]], tblOwners[Department], tblOwners[Budget Owner], "Not found")</f>
        <v>Niamh Walsh</v>
      </c>
    </row>
    <row r="179" spans="1:11" x14ac:dyDescent="0.3">
      <c r="A179" t="s">
        <v>36</v>
      </c>
      <c r="B179" t="s">
        <v>23</v>
      </c>
      <c r="C179" t="s">
        <v>11</v>
      </c>
      <c r="D179" t="s">
        <v>12</v>
      </c>
      <c r="E179" s="4">
        <v>20000</v>
      </c>
      <c r="F179" s="3">
        <v>19763.240000000002</v>
      </c>
      <c r="G179" s="3">
        <f>tblData[[#This Row],[Actual]]-tblData[[#This Row],[Budget]]</f>
        <v>-236.7599999999984</v>
      </c>
      <c r="H179" s="1">
        <f>IF(tblData[[#This Row],[Budget]]=0,0,tblData[[#This Row],[Variance]]/tblData[[#This Row],[Budget]])</f>
        <v>-1.183799999999992E-2</v>
      </c>
      <c r="I179" t="str">
        <f>IF(tblData[[#This Row],[Type]]="Revenue",IF(tblData[[#This Row],[Variance]]&gt;=0,"Favourable","Adverse"),IF(tblData[[#This Row],[Variance]]&lt;=0,"Favourable","Adverse"))</f>
        <v>Favourable</v>
      </c>
      <c r="J179" t="str">
        <f>"Q"&amp;ROUNDUP(VALUE(RIGHT(tblData[[#This Row],[Month]],2))/3,0)</f>
        <v>Q4</v>
      </c>
      <c r="K179" t="str">
        <f>_xlfn.XLOOKUP(tblData[[#This Row],[Department]], tblOwners[Department], tblOwners[Budget Owner], "Not found")</f>
        <v>Niamh Walsh</v>
      </c>
    </row>
    <row r="180" spans="1:11" x14ac:dyDescent="0.3">
      <c r="A180" t="s">
        <v>36</v>
      </c>
      <c r="B180" t="s">
        <v>26</v>
      </c>
      <c r="C180" t="s">
        <v>27</v>
      </c>
      <c r="D180" t="s">
        <v>12</v>
      </c>
      <c r="E180" s="4">
        <v>7000</v>
      </c>
      <c r="F180" s="3">
        <v>6998.92</v>
      </c>
      <c r="G180" s="3">
        <f>tblData[[#This Row],[Actual]]-tblData[[#This Row],[Budget]]</f>
        <v>-1.0799999999999272</v>
      </c>
      <c r="H180" s="1">
        <f>IF(tblData[[#This Row],[Budget]]=0,0,tblData[[#This Row],[Variance]]/tblData[[#This Row],[Budget]])</f>
        <v>-1.542857142857039E-4</v>
      </c>
      <c r="I180" t="str">
        <f>IF(tblData[[#This Row],[Type]]="Revenue",IF(tblData[[#This Row],[Variance]]&gt;=0,"Favourable","Adverse"),IF(tblData[[#This Row],[Variance]]&lt;=0,"Favourable","Adverse"))</f>
        <v>Favourable</v>
      </c>
      <c r="J180" t="str">
        <f>"Q"&amp;ROUNDUP(VALUE(RIGHT(tblData[[#This Row],[Month]],2))/3,0)</f>
        <v>Q4</v>
      </c>
      <c r="K180" t="str">
        <f>_xlfn.XLOOKUP(tblData[[#This Row],[Department]], tblOwners[Department], tblOwners[Budget Owner], "Not found")</f>
        <v>Conor Murphy</v>
      </c>
    </row>
    <row r="181" spans="1:11" x14ac:dyDescent="0.3">
      <c r="A181" t="s">
        <v>36</v>
      </c>
      <c r="B181" t="s">
        <v>26</v>
      </c>
      <c r="C181" t="s">
        <v>11</v>
      </c>
      <c r="D181" t="s">
        <v>12</v>
      </c>
      <c r="E181" s="4">
        <v>25000</v>
      </c>
      <c r="F181" s="3">
        <v>24877.42</v>
      </c>
      <c r="G181" s="3">
        <f>tblData[[#This Row],[Actual]]-tblData[[#This Row],[Budget]]</f>
        <v>-122.58000000000175</v>
      </c>
      <c r="H181" s="1">
        <f>IF(tblData[[#This Row],[Budget]]=0,0,tblData[[#This Row],[Variance]]/tblData[[#This Row],[Budget]])</f>
        <v>-4.9032000000000702E-3</v>
      </c>
      <c r="I181" t="str">
        <f>IF(tblData[[#This Row],[Type]]="Revenue",IF(tblData[[#This Row],[Variance]]&gt;=0,"Favourable","Adverse"),IF(tblData[[#This Row],[Variance]]&lt;=0,"Favourable","Adverse"))</f>
        <v>Favourable</v>
      </c>
      <c r="J181" t="str">
        <f>"Q"&amp;ROUNDUP(VALUE(RIGHT(tblData[[#This Row],[Month]],2))/3,0)</f>
        <v>Q4</v>
      </c>
      <c r="K181" t="str">
        <f>_xlfn.XLOOKUP(tblData[[#This Row],[Department]], tblOwners[Department], tblOwners[Budget Owner], "Not found")</f>
        <v>Conor Murphy</v>
      </c>
    </row>
    <row r="182" spans="1:11" x14ac:dyDescent="0.3">
      <c r="A182" t="s">
        <v>37</v>
      </c>
      <c r="B182" t="s">
        <v>7</v>
      </c>
      <c r="C182" t="s">
        <v>8</v>
      </c>
      <c r="D182" t="s">
        <v>9</v>
      </c>
      <c r="E182" s="4">
        <v>504000</v>
      </c>
      <c r="F182" s="3">
        <v>509104.13</v>
      </c>
      <c r="G182" s="3">
        <f>tblData[[#This Row],[Actual]]-tblData[[#This Row],[Budget]]</f>
        <v>5104.1300000000047</v>
      </c>
      <c r="H182" s="1">
        <f>IF(tblData[[#This Row],[Budget]]=0,0,tblData[[#This Row],[Variance]]/tblData[[#This Row],[Budget]])</f>
        <v>1.0127242063492073E-2</v>
      </c>
      <c r="I182" t="str">
        <f>IF(tblData[[#This Row],[Type]]="Revenue",IF(tblData[[#This Row],[Variance]]&gt;=0,"Favourable","Adverse"),IF(tblData[[#This Row],[Variance]]&lt;=0,"Favourable","Adverse"))</f>
        <v>Favourable</v>
      </c>
      <c r="J182" t="str">
        <f>"Q"&amp;ROUNDUP(VALUE(RIGHT(tblData[[#This Row],[Month]],2))/3,0)</f>
        <v>Q4</v>
      </c>
      <c r="K182" t="str">
        <f>_xlfn.XLOOKUP(tblData[[#This Row],[Department]], tblOwners[Department], tblOwners[Budget Owner], "Not found")</f>
        <v>Aoife Byrne</v>
      </c>
    </row>
    <row r="183" spans="1:11" x14ac:dyDescent="0.3">
      <c r="A183" t="s">
        <v>37</v>
      </c>
      <c r="B183" t="s">
        <v>7</v>
      </c>
      <c r="C183" t="s">
        <v>10</v>
      </c>
      <c r="D183" t="s">
        <v>9</v>
      </c>
      <c r="E183" s="4">
        <v>72000</v>
      </c>
      <c r="F183" s="3">
        <v>75040.160000000003</v>
      </c>
      <c r="G183" s="3">
        <f>tblData[[#This Row],[Actual]]-tblData[[#This Row],[Budget]]</f>
        <v>3040.1600000000035</v>
      </c>
      <c r="H183" s="1">
        <f>IF(tblData[[#This Row],[Budget]]=0,0,tblData[[#This Row],[Variance]]/tblData[[#This Row],[Budget]])</f>
        <v>4.2224444444444495E-2</v>
      </c>
      <c r="I183" t="str">
        <f>IF(tblData[[#This Row],[Type]]="Revenue",IF(tblData[[#This Row],[Variance]]&gt;=0,"Favourable","Adverse"),IF(tblData[[#This Row],[Variance]]&lt;=0,"Favourable","Adverse"))</f>
        <v>Favourable</v>
      </c>
      <c r="J183" t="str">
        <f>"Q"&amp;ROUNDUP(VALUE(RIGHT(tblData[[#This Row],[Month]],2))/3,0)</f>
        <v>Q4</v>
      </c>
      <c r="K183" t="str">
        <f>_xlfn.XLOOKUP(tblData[[#This Row],[Department]], tblOwners[Department], tblOwners[Budget Owner], "Not found")</f>
        <v>Aoife Byrne</v>
      </c>
    </row>
    <row r="184" spans="1:11" x14ac:dyDescent="0.3">
      <c r="A184" t="s">
        <v>37</v>
      </c>
      <c r="B184" t="s">
        <v>7</v>
      </c>
      <c r="C184" t="s">
        <v>11</v>
      </c>
      <c r="D184" t="s">
        <v>12</v>
      </c>
      <c r="E184" s="4">
        <v>85000</v>
      </c>
      <c r="F184" s="3">
        <v>85230.99</v>
      </c>
      <c r="G184" s="3">
        <f>tblData[[#This Row],[Actual]]-tblData[[#This Row],[Budget]]</f>
        <v>230.99000000000524</v>
      </c>
      <c r="H184" s="1">
        <f>IF(tblData[[#This Row],[Budget]]=0,0,tblData[[#This Row],[Variance]]/tblData[[#This Row],[Budget]])</f>
        <v>2.7175294117647675E-3</v>
      </c>
      <c r="I184" t="str">
        <f>IF(tblData[[#This Row],[Type]]="Revenue",IF(tblData[[#This Row],[Variance]]&gt;=0,"Favourable","Adverse"),IF(tblData[[#This Row],[Variance]]&lt;=0,"Favourable","Adverse"))</f>
        <v>Adverse</v>
      </c>
      <c r="J184" t="str">
        <f>"Q"&amp;ROUNDUP(VALUE(RIGHT(tblData[[#This Row],[Month]],2))/3,0)</f>
        <v>Q4</v>
      </c>
      <c r="K184" t="str">
        <f>_xlfn.XLOOKUP(tblData[[#This Row],[Department]], tblOwners[Department], tblOwners[Budget Owner], "Not found")</f>
        <v>Aoife Byrne</v>
      </c>
    </row>
    <row r="185" spans="1:11" x14ac:dyDescent="0.3">
      <c r="A185" t="s">
        <v>37</v>
      </c>
      <c r="B185" t="s">
        <v>7</v>
      </c>
      <c r="C185" t="s">
        <v>13</v>
      </c>
      <c r="D185" t="s">
        <v>12</v>
      </c>
      <c r="E185" s="4">
        <v>12000</v>
      </c>
      <c r="F185" s="3">
        <v>7769.9</v>
      </c>
      <c r="G185" s="3">
        <f>tblData[[#This Row],[Actual]]-tblData[[#This Row],[Budget]]</f>
        <v>-4230.1000000000004</v>
      </c>
      <c r="H185" s="1">
        <f>IF(tblData[[#This Row],[Budget]]=0,0,tblData[[#This Row],[Variance]]/tblData[[#This Row],[Budget]])</f>
        <v>-0.35250833333333337</v>
      </c>
      <c r="I185" t="str">
        <f>IF(tblData[[#This Row],[Type]]="Revenue",IF(tblData[[#This Row],[Variance]]&gt;=0,"Favourable","Adverse"),IF(tblData[[#This Row],[Variance]]&lt;=0,"Favourable","Adverse"))</f>
        <v>Favourable</v>
      </c>
      <c r="J185" t="str">
        <f>"Q"&amp;ROUNDUP(VALUE(RIGHT(tblData[[#This Row],[Month]],2))/3,0)</f>
        <v>Q4</v>
      </c>
      <c r="K185" t="str">
        <f>_xlfn.XLOOKUP(tblData[[#This Row],[Department]], tblOwners[Department], tblOwners[Budget Owner], "Not found")</f>
        <v>Aoife Byrne</v>
      </c>
    </row>
    <row r="186" spans="1:11" x14ac:dyDescent="0.3">
      <c r="A186" t="s">
        <v>37</v>
      </c>
      <c r="B186" t="s">
        <v>14</v>
      </c>
      <c r="C186" t="s">
        <v>15</v>
      </c>
      <c r="D186" t="s">
        <v>12</v>
      </c>
      <c r="E186" s="4">
        <v>45000</v>
      </c>
      <c r="F186" s="3">
        <v>59611.64</v>
      </c>
      <c r="G186" s="3">
        <f>tblData[[#This Row],[Actual]]-tblData[[#This Row],[Budget]]</f>
        <v>14611.64</v>
      </c>
      <c r="H186" s="1">
        <f>IF(tblData[[#This Row],[Budget]]=0,0,tblData[[#This Row],[Variance]]/tblData[[#This Row],[Budget]])</f>
        <v>0.32470311111111111</v>
      </c>
      <c r="I186" t="str">
        <f>IF(tblData[[#This Row],[Type]]="Revenue",IF(tblData[[#This Row],[Variance]]&gt;=0,"Favourable","Adverse"),IF(tblData[[#This Row],[Variance]]&lt;=0,"Favourable","Adverse"))</f>
        <v>Adverse</v>
      </c>
      <c r="J186" t="str">
        <f>"Q"&amp;ROUNDUP(VALUE(RIGHT(tblData[[#This Row],[Month]],2))/3,0)</f>
        <v>Q4</v>
      </c>
      <c r="K186" t="str">
        <f>_xlfn.XLOOKUP(tblData[[#This Row],[Department]], tblOwners[Department], tblOwners[Budget Owner], "Not found")</f>
        <v>Liam O'Connor</v>
      </c>
    </row>
    <row r="187" spans="1:11" x14ac:dyDescent="0.3">
      <c r="A187" t="s">
        <v>37</v>
      </c>
      <c r="B187" t="s">
        <v>14</v>
      </c>
      <c r="C187" t="s">
        <v>16</v>
      </c>
      <c r="D187" t="s">
        <v>12</v>
      </c>
      <c r="E187" s="4">
        <v>10000</v>
      </c>
      <c r="F187" s="3">
        <v>9634.36</v>
      </c>
      <c r="G187" s="3">
        <f>tblData[[#This Row],[Actual]]-tblData[[#This Row],[Budget]]</f>
        <v>-365.63999999999942</v>
      </c>
      <c r="H187" s="1">
        <f>IF(tblData[[#This Row],[Budget]]=0,0,tblData[[#This Row],[Variance]]/tblData[[#This Row],[Budget]])</f>
        <v>-3.6563999999999944E-2</v>
      </c>
      <c r="I187" t="str">
        <f>IF(tblData[[#This Row],[Type]]="Revenue",IF(tblData[[#This Row],[Variance]]&gt;=0,"Favourable","Adverse"),IF(tblData[[#This Row],[Variance]]&lt;=0,"Favourable","Adverse"))</f>
        <v>Favourable</v>
      </c>
      <c r="J187" t="str">
        <f>"Q"&amp;ROUNDUP(VALUE(RIGHT(tblData[[#This Row],[Month]],2))/3,0)</f>
        <v>Q4</v>
      </c>
      <c r="K187" t="str">
        <f>_xlfn.XLOOKUP(tblData[[#This Row],[Department]], tblOwners[Department], tblOwners[Budget Owner], "Not found")</f>
        <v>Liam O'Connor</v>
      </c>
    </row>
    <row r="188" spans="1:11" x14ac:dyDescent="0.3">
      <c r="A188" t="s">
        <v>37</v>
      </c>
      <c r="B188" t="s">
        <v>14</v>
      </c>
      <c r="C188" t="s">
        <v>11</v>
      </c>
      <c r="D188" t="s">
        <v>12</v>
      </c>
      <c r="E188" s="4">
        <v>30000</v>
      </c>
      <c r="F188" s="3">
        <v>29209.66</v>
      </c>
      <c r="G188" s="3">
        <f>tblData[[#This Row],[Actual]]-tblData[[#This Row],[Budget]]</f>
        <v>-790.34000000000015</v>
      </c>
      <c r="H188" s="1">
        <f>IF(tblData[[#This Row],[Budget]]=0,0,tblData[[#This Row],[Variance]]/tblData[[#This Row],[Budget]])</f>
        <v>-2.6344666666666672E-2</v>
      </c>
      <c r="I188" t="str">
        <f>IF(tblData[[#This Row],[Type]]="Revenue",IF(tblData[[#This Row],[Variance]]&gt;=0,"Favourable","Adverse"),IF(tblData[[#This Row],[Variance]]&lt;=0,"Favourable","Adverse"))</f>
        <v>Favourable</v>
      </c>
      <c r="J188" t="str">
        <f>"Q"&amp;ROUNDUP(VALUE(RIGHT(tblData[[#This Row],[Month]],2))/3,0)</f>
        <v>Q4</v>
      </c>
      <c r="K188" t="str">
        <f>_xlfn.XLOOKUP(tblData[[#This Row],[Department]], tblOwners[Department], tblOwners[Budget Owner], "Not found")</f>
        <v>Liam O'Connor</v>
      </c>
    </row>
    <row r="189" spans="1:11" x14ac:dyDescent="0.3">
      <c r="A189" t="s">
        <v>37</v>
      </c>
      <c r="B189" t="s">
        <v>17</v>
      </c>
      <c r="C189" t="s">
        <v>18</v>
      </c>
      <c r="D189" t="s">
        <v>12</v>
      </c>
      <c r="E189" s="4">
        <v>40000</v>
      </c>
      <c r="F189" s="3">
        <v>39599.050000000003</v>
      </c>
      <c r="G189" s="3">
        <f>tblData[[#This Row],[Actual]]-tblData[[#This Row],[Budget]]</f>
        <v>-400.94999999999709</v>
      </c>
      <c r="H189" s="1">
        <f>IF(tblData[[#This Row],[Budget]]=0,0,tblData[[#This Row],[Variance]]/tblData[[#This Row],[Budget]])</f>
        <v>-1.0023749999999927E-2</v>
      </c>
      <c r="I189" t="str">
        <f>IF(tblData[[#This Row],[Type]]="Revenue",IF(tblData[[#This Row],[Variance]]&gt;=0,"Favourable","Adverse"),IF(tblData[[#This Row],[Variance]]&lt;=0,"Favourable","Adverse"))</f>
        <v>Favourable</v>
      </c>
      <c r="J189" t="str">
        <f>"Q"&amp;ROUNDUP(VALUE(RIGHT(tblData[[#This Row],[Month]],2))/3,0)</f>
        <v>Q4</v>
      </c>
      <c r="K189" t="str">
        <f>_xlfn.XLOOKUP(tblData[[#This Row],[Department]], tblOwners[Department], tblOwners[Budget Owner], "Not found")</f>
        <v>Siobhan Kelly</v>
      </c>
    </row>
    <row r="190" spans="1:11" x14ac:dyDescent="0.3">
      <c r="A190" t="s">
        <v>37</v>
      </c>
      <c r="B190" t="s">
        <v>17</v>
      </c>
      <c r="C190" t="s">
        <v>19</v>
      </c>
      <c r="D190" t="s">
        <v>12</v>
      </c>
      <c r="E190" s="4">
        <v>55000</v>
      </c>
      <c r="F190" s="3">
        <v>63811.45</v>
      </c>
      <c r="G190" s="3">
        <f>tblData[[#This Row],[Actual]]-tblData[[#This Row],[Budget]]</f>
        <v>8811.4499999999971</v>
      </c>
      <c r="H190" s="1">
        <f>IF(tblData[[#This Row],[Budget]]=0,0,tblData[[#This Row],[Variance]]/tblData[[#This Row],[Budget]])</f>
        <v>0.16020818181818178</v>
      </c>
      <c r="I190" t="str">
        <f>IF(tblData[[#This Row],[Type]]="Revenue",IF(tblData[[#This Row],[Variance]]&gt;=0,"Favourable","Adverse"),IF(tblData[[#This Row],[Variance]]&lt;=0,"Favourable","Adverse"))</f>
        <v>Adverse</v>
      </c>
      <c r="J190" t="str">
        <f>"Q"&amp;ROUNDUP(VALUE(RIGHT(tblData[[#This Row],[Month]],2))/3,0)</f>
        <v>Q4</v>
      </c>
      <c r="K190" t="str">
        <f>_xlfn.XLOOKUP(tblData[[#This Row],[Department]], tblOwners[Department], tblOwners[Budget Owner], "Not found")</f>
        <v>Siobhan Kelly</v>
      </c>
    </row>
    <row r="191" spans="1:11" x14ac:dyDescent="0.3">
      <c r="A191" t="s">
        <v>37</v>
      </c>
      <c r="B191" t="s">
        <v>17</v>
      </c>
      <c r="C191" t="s">
        <v>11</v>
      </c>
      <c r="D191" t="s">
        <v>12</v>
      </c>
      <c r="E191" s="4">
        <v>70000</v>
      </c>
      <c r="F191" s="3">
        <v>70064.33</v>
      </c>
      <c r="G191" s="3">
        <f>tblData[[#This Row],[Actual]]-tblData[[#This Row],[Budget]]</f>
        <v>64.330000000001746</v>
      </c>
      <c r="H191" s="1">
        <f>IF(tblData[[#This Row],[Budget]]=0,0,tblData[[#This Row],[Variance]]/tblData[[#This Row],[Budget]])</f>
        <v>9.1900000000002494E-4</v>
      </c>
      <c r="I191" t="str">
        <f>IF(tblData[[#This Row],[Type]]="Revenue",IF(tblData[[#This Row],[Variance]]&gt;=0,"Favourable","Adverse"),IF(tblData[[#This Row],[Variance]]&lt;=0,"Favourable","Adverse"))</f>
        <v>Adverse</v>
      </c>
      <c r="J191" t="str">
        <f>"Q"&amp;ROUNDUP(VALUE(RIGHT(tblData[[#This Row],[Month]],2))/3,0)</f>
        <v>Q4</v>
      </c>
      <c r="K191" t="str">
        <f>_xlfn.XLOOKUP(tblData[[#This Row],[Department]], tblOwners[Department], tblOwners[Budget Owner], "Not found")</f>
        <v>Siobhan Kelly</v>
      </c>
    </row>
    <row r="192" spans="1:11" x14ac:dyDescent="0.3">
      <c r="A192" t="s">
        <v>37</v>
      </c>
      <c r="B192" t="s">
        <v>20</v>
      </c>
      <c r="C192" t="s">
        <v>21</v>
      </c>
      <c r="D192" t="s">
        <v>12</v>
      </c>
      <c r="E192" s="4">
        <v>18000</v>
      </c>
      <c r="F192" s="3">
        <v>22382.04</v>
      </c>
      <c r="G192" s="3">
        <f>tblData[[#This Row],[Actual]]-tblData[[#This Row],[Budget]]</f>
        <v>4382.0400000000009</v>
      </c>
      <c r="H192" s="1">
        <f>IF(tblData[[#This Row],[Budget]]=0,0,tblData[[#This Row],[Variance]]/tblData[[#This Row],[Budget]])</f>
        <v>0.24344666666666673</v>
      </c>
      <c r="I192" t="str">
        <f>IF(tblData[[#This Row],[Type]]="Revenue",IF(tblData[[#This Row],[Variance]]&gt;=0,"Favourable","Adverse"),IF(tblData[[#This Row],[Variance]]&lt;=0,"Favourable","Adverse"))</f>
        <v>Adverse</v>
      </c>
      <c r="J192" t="str">
        <f>"Q"&amp;ROUNDUP(VALUE(RIGHT(tblData[[#This Row],[Month]],2))/3,0)</f>
        <v>Q4</v>
      </c>
      <c r="K192" t="str">
        <f>_xlfn.XLOOKUP(tblData[[#This Row],[Department]], tblOwners[Department], tblOwners[Budget Owner], "Not found")</f>
        <v>Ravi Sharma</v>
      </c>
    </row>
    <row r="193" spans="1:11" x14ac:dyDescent="0.3">
      <c r="A193" t="s">
        <v>37</v>
      </c>
      <c r="B193" t="s">
        <v>20</v>
      </c>
      <c r="C193" t="s">
        <v>22</v>
      </c>
      <c r="D193" t="s">
        <v>12</v>
      </c>
      <c r="E193" s="4">
        <v>8000</v>
      </c>
      <c r="F193" s="3">
        <v>8240.66</v>
      </c>
      <c r="G193" s="3">
        <f>tblData[[#This Row],[Actual]]-tblData[[#This Row],[Budget]]</f>
        <v>240.65999999999985</v>
      </c>
      <c r="H193" s="1">
        <f>IF(tblData[[#This Row],[Budget]]=0,0,tblData[[#This Row],[Variance]]/tblData[[#This Row],[Budget]])</f>
        <v>3.0082499999999981E-2</v>
      </c>
      <c r="I193" t="str">
        <f>IF(tblData[[#This Row],[Type]]="Revenue",IF(tblData[[#This Row],[Variance]]&gt;=0,"Favourable","Adverse"),IF(tblData[[#This Row],[Variance]]&lt;=0,"Favourable","Adverse"))</f>
        <v>Adverse</v>
      </c>
      <c r="J193" t="str">
        <f>"Q"&amp;ROUNDUP(VALUE(RIGHT(tblData[[#This Row],[Month]],2))/3,0)</f>
        <v>Q4</v>
      </c>
      <c r="K193" t="str">
        <f>_xlfn.XLOOKUP(tblData[[#This Row],[Department]], tblOwners[Department], tblOwners[Budget Owner], "Not found")</f>
        <v>Ravi Sharma</v>
      </c>
    </row>
    <row r="194" spans="1:11" x14ac:dyDescent="0.3">
      <c r="A194" t="s">
        <v>37</v>
      </c>
      <c r="B194" t="s">
        <v>20</v>
      </c>
      <c r="C194" t="s">
        <v>11</v>
      </c>
      <c r="D194" t="s">
        <v>12</v>
      </c>
      <c r="E194" s="4">
        <v>35000</v>
      </c>
      <c r="F194" s="3">
        <v>35565.019999999997</v>
      </c>
      <c r="G194" s="3">
        <f>tblData[[#This Row],[Actual]]-tblData[[#This Row],[Budget]]</f>
        <v>565.0199999999968</v>
      </c>
      <c r="H194" s="1">
        <f>IF(tblData[[#This Row],[Budget]]=0,0,tblData[[#This Row],[Variance]]/tblData[[#This Row],[Budget]])</f>
        <v>1.6143428571428479E-2</v>
      </c>
      <c r="I194" t="str">
        <f>IF(tblData[[#This Row],[Type]]="Revenue",IF(tblData[[#This Row],[Variance]]&gt;=0,"Favourable","Adverse"),IF(tblData[[#This Row],[Variance]]&lt;=0,"Favourable","Adverse"))</f>
        <v>Adverse</v>
      </c>
      <c r="J194" t="str">
        <f>"Q"&amp;ROUNDUP(VALUE(RIGHT(tblData[[#This Row],[Month]],2))/3,0)</f>
        <v>Q4</v>
      </c>
      <c r="K194" t="str">
        <f>_xlfn.XLOOKUP(tblData[[#This Row],[Department]], tblOwners[Department], tblOwners[Budget Owner], "Not found")</f>
        <v>Ravi Sharma</v>
      </c>
    </row>
    <row r="195" spans="1:11" x14ac:dyDescent="0.3">
      <c r="A195" t="s">
        <v>37</v>
      </c>
      <c r="B195" t="s">
        <v>23</v>
      </c>
      <c r="C195" t="s">
        <v>24</v>
      </c>
      <c r="D195" t="s">
        <v>12</v>
      </c>
      <c r="E195" s="4">
        <v>6000</v>
      </c>
      <c r="F195" s="3">
        <v>6240.73</v>
      </c>
      <c r="G195" s="3">
        <f>tblData[[#This Row],[Actual]]-tblData[[#This Row],[Budget]]</f>
        <v>240.72999999999956</v>
      </c>
      <c r="H195" s="1">
        <f>IF(tblData[[#This Row],[Budget]]=0,0,tblData[[#This Row],[Variance]]/tblData[[#This Row],[Budget]])</f>
        <v>4.0121666666666597E-2</v>
      </c>
      <c r="I195" t="str">
        <f>IF(tblData[[#This Row],[Type]]="Revenue",IF(tblData[[#This Row],[Variance]]&gt;=0,"Favourable","Adverse"),IF(tblData[[#This Row],[Variance]]&lt;=0,"Favourable","Adverse"))</f>
        <v>Adverse</v>
      </c>
      <c r="J195" t="str">
        <f>"Q"&amp;ROUNDUP(VALUE(RIGHT(tblData[[#This Row],[Month]],2))/3,0)</f>
        <v>Q4</v>
      </c>
      <c r="K195" t="str">
        <f>_xlfn.XLOOKUP(tblData[[#This Row],[Department]], tblOwners[Department], tblOwners[Budget Owner], "Not found")</f>
        <v>Niamh Walsh</v>
      </c>
    </row>
    <row r="196" spans="1:11" x14ac:dyDescent="0.3">
      <c r="A196" t="s">
        <v>37</v>
      </c>
      <c r="B196" t="s">
        <v>23</v>
      </c>
      <c r="C196" t="s">
        <v>25</v>
      </c>
      <c r="D196" t="s">
        <v>12</v>
      </c>
      <c r="E196" s="4">
        <v>5000</v>
      </c>
      <c r="F196" s="3">
        <v>4976.82</v>
      </c>
      <c r="G196" s="3">
        <f>tblData[[#This Row],[Actual]]-tblData[[#This Row],[Budget]]</f>
        <v>-23.180000000000291</v>
      </c>
      <c r="H196" s="1">
        <f>IF(tblData[[#This Row],[Budget]]=0,0,tblData[[#This Row],[Variance]]/tblData[[#This Row],[Budget]])</f>
        <v>-4.6360000000000585E-3</v>
      </c>
      <c r="I196" t="str">
        <f>IF(tblData[[#This Row],[Type]]="Revenue",IF(tblData[[#This Row],[Variance]]&gt;=0,"Favourable","Adverse"),IF(tblData[[#This Row],[Variance]]&lt;=0,"Favourable","Adverse"))</f>
        <v>Favourable</v>
      </c>
      <c r="J196" t="str">
        <f>"Q"&amp;ROUNDUP(VALUE(RIGHT(tblData[[#This Row],[Month]],2))/3,0)</f>
        <v>Q4</v>
      </c>
      <c r="K196" t="str">
        <f>_xlfn.XLOOKUP(tblData[[#This Row],[Department]], tblOwners[Department], tblOwners[Budget Owner], "Not found")</f>
        <v>Niamh Walsh</v>
      </c>
    </row>
    <row r="197" spans="1:11" x14ac:dyDescent="0.3">
      <c r="A197" t="s">
        <v>37</v>
      </c>
      <c r="B197" t="s">
        <v>23</v>
      </c>
      <c r="C197" t="s">
        <v>11</v>
      </c>
      <c r="D197" t="s">
        <v>12</v>
      </c>
      <c r="E197" s="4">
        <v>20000</v>
      </c>
      <c r="F197" s="3">
        <v>19582.43</v>
      </c>
      <c r="G197" s="3">
        <f>tblData[[#This Row],[Actual]]-tblData[[#This Row],[Budget]]</f>
        <v>-417.56999999999971</v>
      </c>
      <c r="H197" s="1">
        <f>IF(tblData[[#This Row],[Budget]]=0,0,tblData[[#This Row],[Variance]]/tblData[[#This Row],[Budget]])</f>
        <v>-2.0878499999999984E-2</v>
      </c>
      <c r="I197" t="str">
        <f>IF(tblData[[#This Row],[Type]]="Revenue",IF(tblData[[#This Row],[Variance]]&gt;=0,"Favourable","Adverse"),IF(tblData[[#This Row],[Variance]]&lt;=0,"Favourable","Adverse"))</f>
        <v>Favourable</v>
      </c>
      <c r="J197" t="str">
        <f>"Q"&amp;ROUNDUP(VALUE(RIGHT(tblData[[#This Row],[Month]],2))/3,0)</f>
        <v>Q4</v>
      </c>
      <c r="K197" t="str">
        <f>_xlfn.XLOOKUP(tblData[[#This Row],[Department]], tblOwners[Department], tblOwners[Budget Owner], "Not found")</f>
        <v>Niamh Walsh</v>
      </c>
    </row>
    <row r="198" spans="1:11" x14ac:dyDescent="0.3">
      <c r="A198" t="s">
        <v>37</v>
      </c>
      <c r="B198" t="s">
        <v>26</v>
      </c>
      <c r="C198" t="s">
        <v>27</v>
      </c>
      <c r="D198" t="s">
        <v>12</v>
      </c>
      <c r="E198" s="4">
        <v>7000</v>
      </c>
      <c r="F198" s="3">
        <v>6952.99</v>
      </c>
      <c r="G198" s="3">
        <f>tblData[[#This Row],[Actual]]-tblData[[#This Row],[Budget]]</f>
        <v>-47.010000000000218</v>
      </c>
      <c r="H198" s="1">
        <f>IF(tblData[[#This Row],[Budget]]=0,0,tblData[[#This Row],[Variance]]/tblData[[#This Row],[Budget]])</f>
        <v>-6.715714285714317E-3</v>
      </c>
      <c r="I198" t="str">
        <f>IF(tblData[[#This Row],[Type]]="Revenue",IF(tblData[[#This Row],[Variance]]&gt;=0,"Favourable","Adverse"),IF(tblData[[#This Row],[Variance]]&lt;=0,"Favourable","Adverse"))</f>
        <v>Favourable</v>
      </c>
      <c r="J198" t="str">
        <f>"Q"&amp;ROUNDUP(VALUE(RIGHT(tblData[[#This Row],[Month]],2))/3,0)</f>
        <v>Q4</v>
      </c>
      <c r="K198" t="str">
        <f>_xlfn.XLOOKUP(tblData[[#This Row],[Department]], tblOwners[Department], tblOwners[Budget Owner], "Not found")</f>
        <v>Conor Murphy</v>
      </c>
    </row>
    <row r="199" spans="1:11" x14ac:dyDescent="0.3">
      <c r="A199" t="s">
        <v>37</v>
      </c>
      <c r="B199" t="s">
        <v>26</v>
      </c>
      <c r="C199" t="s">
        <v>11</v>
      </c>
      <c r="D199" t="s">
        <v>12</v>
      </c>
      <c r="E199" s="4">
        <v>25000</v>
      </c>
      <c r="F199" s="3">
        <v>25181.87</v>
      </c>
      <c r="G199" s="3">
        <f>tblData[[#This Row],[Actual]]-tblData[[#This Row],[Budget]]</f>
        <v>181.86999999999898</v>
      </c>
      <c r="H199" s="1">
        <f>IF(tblData[[#This Row],[Budget]]=0,0,tblData[[#This Row],[Variance]]/tblData[[#This Row],[Budget]])</f>
        <v>7.2747999999999589E-3</v>
      </c>
      <c r="I199" t="str">
        <f>IF(tblData[[#This Row],[Type]]="Revenue",IF(tblData[[#This Row],[Variance]]&gt;=0,"Favourable","Adverse"),IF(tblData[[#This Row],[Variance]]&lt;=0,"Favourable","Adverse"))</f>
        <v>Adverse</v>
      </c>
      <c r="J199" t="str">
        <f>"Q"&amp;ROUNDUP(VALUE(RIGHT(tblData[[#This Row],[Month]],2))/3,0)</f>
        <v>Q4</v>
      </c>
      <c r="K199" t="str">
        <f>_xlfn.XLOOKUP(tblData[[#This Row],[Department]], tblOwners[Department], tblOwners[Budget Owner], "Not found")</f>
        <v>Conor Murphy</v>
      </c>
    </row>
    <row r="200" spans="1:11" x14ac:dyDescent="0.3">
      <c r="A200" t="s">
        <v>38</v>
      </c>
      <c r="B200" t="s">
        <v>7</v>
      </c>
      <c r="C200" t="s">
        <v>8</v>
      </c>
      <c r="D200" t="s">
        <v>9</v>
      </c>
      <c r="E200" s="4">
        <v>546000</v>
      </c>
      <c r="F200" s="3">
        <v>548892.27</v>
      </c>
      <c r="G200" s="3">
        <f>tblData[[#This Row],[Actual]]-tblData[[#This Row],[Budget]]</f>
        <v>2892.2700000000186</v>
      </c>
      <c r="H200" s="1">
        <f>IF(tblData[[#This Row],[Budget]]=0,0,tblData[[#This Row],[Variance]]/tblData[[#This Row],[Budget]])</f>
        <v>5.297197802197836E-3</v>
      </c>
      <c r="I200" t="str">
        <f>IF(tblData[[#This Row],[Type]]="Revenue",IF(tblData[[#This Row],[Variance]]&gt;=0,"Favourable","Adverse"),IF(tblData[[#This Row],[Variance]]&lt;=0,"Favourable","Adverse"))</f>
        <v>Favourable</v>
      </c>
      <c r="J200" t="str">
        <f>"Q"&amp;ROUNDUP(VALUE(RIGHT(tblData[[#This Row],[Month]],2))/3,0)</f>
        <v>Q4</v>
      </c>
      <c r="K200" t="str">
        <f>_xlfn.XLOOKUP(tblData[[#This Row],[Department]], tblOwners[Department], tblOwners[Budget Owner], "Not found")</f>
        <v>Aoife Byrne</v>
      </c>
    </row>
    <row r="201" spans="1:11" x14ac:dyDescent="0.3">
      <c r="A201" t="s">
        <v>38</v>
      </c>
      <c r="B201" t="s">
        <v>7</v>
      </c>
      <c r="C201" t="s">
        <v>10</v>
      </c>
      <c r="D201" t="s">
        <v>9</v>
      </c>
      <c r="E201" s="4">
        <v>78000</v>
      </c>
      <c r="F201" s="3">
        <v>75462.53</v>
      </c>
      <c r="G201" s="3">
        <f>tblData[[#This Row],[Actual]]-tblData[[#This Row],[Budget]]</f>
        <v>-2537.4700000000012</v>
      </c>
      <c r="H201" s="1">
        <f>IF(tblData[[#This Row],[Budget]]=0,0,tblData[[#This Row],[Variance]]/tblData[[#This Row],[Budget]])</f>
        <v>-3.2531666666666681E-2</v>
      </c>
      <c r="I201" t="str">
        <f>IF(tblData[[#This Row],[Type]]="Revenue",IF(tblData[[#This Row],[Variance]]&gt;=0,"Favourable","Adverse"),IF(tblData[[#This Row],[Variance]]&lt;=0,"Favourable","Adverse"))</f>
        <v>Adverse</v>
      </c>
      <c r="J201" t="str">
        <f>"Q"&amp;ROUNDUP(VALUE(RIGHT(tblData[[#This Row],[Month]],2))/3,0)</f>
        <v>Q4</v>
      </c>
      <c r="K201" t="str">
        <f>_xlfn.XLOOKUP(tblData[[#This Row],[Department]], tblOwners[Department], tblOwners[Budget Owner], "Not found")</f>
        <v>Aoife Byrne</v>
      </c>
    </row>
    <row r="202" spans="1:11" x14ac:dyDescent="0.3">
      <c r="A202" t="s">
        <v>38</v>
      </c>
      <c r="B202" t="s">
        <v>7</v>
      </c>
      <c r="C202" t="s">
        <v>11</v>
      </c>
      <c r="D202" t="s">
        <v>12</v>
      </c>
      <c r="E202" s="4">
        <v>85000</v>
      </c>
      <c r="F202" s="3">
        <v>85230.75</v>
      </c>
      <c r="G202" s="3">
        <f>tblData[[#This Row],[Actual]]-tblData[[#This Row],[Budget]]</f>
        <v>230.75</v>
      </c>
      <c r="H202" s="1">
        <f>IF(tblData[[#This Row],[Budget]]=0,0,tblData[[#This Row],[Variance]]/tblData[[#This Row],[Budget]])</f>
        <v>2.7147058823529411E-3</v>
      </c>
      <c r="I202" t="str">
        <f>IF(tblData[[#This Row],[Type]]="Revenue",IF(tblData[[#This Row],[Variance]]&gt;=0,"Favourable","Adverse"),IF(tblData[[#This Row],[Variance]]&lt;=0,"Favourable","Adverse"))</f>
        <v>Adverse</v>
      </c>
      <c r="J202" t="str">
        <f>"Q"&amp;ROUNDUP(VALUE(RIGHT(tblData[[#This Row],[Month]],2))/3,0)</f>
        <v>Q4</v>
      </c>
      <c r="K202" t="str">
        <f>_xlfn.XLOOKUP(tblData[[#This Row],[Department]], tblOwners[Department], tblOwners[Budget Owner], "Not found")</f>
        <v>Aoife Byrne</v>
      </c>
    </row>
    <row r="203" spans="1:11" x14ac:dyDescent="0.3">
      <c r="A203" t="s">
        <v>38</v>
      </c>
      <c r="B203" t="s">
        <v>7</v>
      </c>
      <c r="C203" t="s">
        <v>13</v>
      </c>
      <c r="D203" t="s">
        <v>12</v>
      </c>
      <c r="E203" s="4">
        <v>12000</v>
      </c>
      <c r="F203" s="3">
        <v>10510.48</v>
      </c>
      <c r="G203" s="3">
        <f>tblData[[#This Row],[Actual]]-tblData[[#This Row],[Budget]]</f>
        <v>-1489.5200000000004</v>
      </c>
      <c r="H203" s="1">
        <f>IF(tblData[[#This Row],[Budget]]=0,0,tblData[[#This Row],[Variance]]/tblData[[#This Row],[Budget]])</f>
        <v>-0.1241266666666667</v>
      </c>
      <c r="I203" t="str">
        <f>IF(tblData[[#This Row],[Type]]="Revenue",IF(tblData[[#This Row],[Variance]]&gt;=0,"Favourable","Adverse"),IF(tblData[[#This Row],[Variance]]&lt;=0,"Favourable","Adverse"))</f>
        <v>Favourable</v>
      </c>
      <c r="J203" t="str">
        <f>"Q"&amp;ROUNDUP(VALUE(RIGHT(tblData[[#This Row],[Month]],2))/3,0)</f>
        <v>Q4</v>
      </c>
      <c r="K203" t="str">
        <f>_xlfn.XLOOKUP(tblData[[#This Row],[Department]], tblOwners[Department], tblOwners[Budget Owner], "Not found")</f>
        <v>Aoife Byrne</v>
      </c>
    </row>
    <row r="204" spans="1:11" x14ac:dyDescent="0.3">
      <c r="A204" t="s">
        <v>38</v>
      </c>
      <c r="B204" t="s">
        <v>14</v>
      </c>
      <c r="C204" t="s">
        <v>15</v>
      </c>
      <c r="D204" t="s">
        <v>12</v>
      </c>
      <c r="E204" s="4">
        <v>45000</v>
      </c>
      <c r="F204" s="3">
        <v>59598.12</v>
      </c>
      <c r="G204" s="3">
        <f>tblData[[#This Row],[Actual]]-tblData[[#This Row],[Budget]]</f>
        <v>14598.120000000003</v>
      </c>
      <c r="H204" s="1">
        <f>IF(tblData[[#This Row],[Budget]]=0,0,tblData[[#This Row],[Variance]]/tblData[[#This Row],[Budget]])</f>
        <v>0.32440266666666673</v>
      </c>
      <c r="I204" t="str">
        <f>IF(tblData[[#This Row],[Type]]="Revenue",IF(tblData[[#This Row],[Variance]]&gt;=0,"Favourable","Adverse"),IF(tblData[[#This Row],[Variance]]&lt;=0,"Favourable","Adverse"))</f>
        <v>Adverse</v>
      </c>
      <c r="J204" t="str">
        <f>"Q"&amp;ROUNDUP(VALUE(RIGHT(tblData[[#This Row],[Month]],2))/3,0)</f>
        <v>Q4</v>
      </c>
      <c r="K204" t="str">
        <f>_xlfn.XLOOKUP(tblData[[#This Row],[Department]], tblOwners[Department], tblOwners[Budget Owner], "Not found")</f>
        <v>Liam O'Connor</v>
      </c>
    </row>
    <row r="205" spans="1:11" x14ac:dyDescent="0.3">
      <c r="A205" t="s">
        <v>38</v>
      </c>
      <c r="B205" t="s">
        <v>14</v>
      </c>
      <c r="C205" t="s">
        <v>16</v>
      </c>
      <c r="D205" t="s">
        <v>12</v>
      </c>
      <c r="E205" s="4">
        <v>10000</v>
      </c>
      <c r="F205" s="3">
        <v>9913.7800000000007</v>
      </c>
      <c r="G205" s="3">
        <f>tblData[[#This Row],[Actual]]-tblData[[#This Row],[Budget]]</f>
        <v>-86.219999999999345</v>
      </c>
      <c r="H205" s="1">
        <f>IF(tblData[[#This Row],[Budget]]=0,0,tblData[[#This Row],[Variance]]/tblData[[#This Row],[Budget]])</f>
        <v>-8.6219999999999353E-3</v>
      </c>
      <c r="I205" t="str">
        <f>IF(tblData[[#This Row],[Type]]="Revenue",IF(tblData[[#This Row],[Variance]]&gt;=0,"Favourable","Adverse"),IF(tblData[[#This Row],[Variance]]&lt;=0,"Favourable","Adverse"))</f>
        <v>Favourable</v>
      </c>
      <c r="J205" t="str">
        <f>"Q"&amp;ROUNDUP(VALUE(RIGHT(tblData[[#This Row],[Month]],2))/3,0)</f>
        <v>Q4</v>
      </c>
      <c r="K205" t="str">
        <f>_xlfn.XLOOKUP(tblData[[#This Row],[Department]], tblOwners[Department], tblOwners[Budget Owner], "Not found")</f>
        <v>Liam O'Connor</v>
      </c>
    </row>
    <row r="206" spans="1:11" x14ac:dyDescent="0.3">
      <c r="A206" t="s">
        <v>38</v>
      </c>
      <c r="B206" t="s">
        <v>14</v>
      </c>
      <c r="C206" t="s">
        <v>11</v>
      </c>
      <c r="D206" t="s">
        <v>12</v>
      </c>
      <c r="E206" s="4">
        <v>30000</v>
      </c>
      <c r="F206" s="3">
        <v>28682.9</v>
      </c>
      <c r="G206" s="3">
        <f>tblData[[#This Row],[Actual]]-tblData[[#This Row],[Budget]]</f>
        <v>-1317.0999999999985</v>
      </c>
      <c r="H206" s="1">
        <f>IF(tblData[[#This Row],[Budget]]=0,0,tblData[[#This Row],[Variance]]/tblData[[#This Row],[Budget]])</f>
        <v>-4.3903333333333287E-2</v>
      </c>
      <c r="I206" t="str">
        <f>IF(tblData[[#This Row],[Type]]="Revenue",IF(tblData[[#This Row],[Variance]]&gt;=0,"Favourable","Adverse"),IF(tblData[[#This Row],[Variance]]&lt;=0,"Favourable","Adverse"))</f>
        <v>Favourable</v>
      </c>
      <c r="J206" t="str">
        <f>"Q"&amp;ROUNDUP(VALUE(RIGHT(tblData[[#This Row],[Month]],2))/3,0)</f>
        <v>Q4</v>
      </c>
      <c r="K206" t="str">
        <f>_xlfn.XLOOKUP(tblData[[#This Row],[Department]], tblOwners[Department], tblOwners[Budget Owner], "Not found")</f>
        <v>Liam O'Connor</v>
      </c>
    </row>
    <row r="207" spans="1:11" x14ac:dyDescent="0.3">
      <c r="A207" t="s">
        <v>38</v>
      </c>
      <c r="B207" t="s">
        <v>17</v>
      </c>
      <c r="C207" t="s">
        <v>18</v>
      </c>
      <c r="D207" t="s">
        <v>12</v>
      </c>
      <c r="E207" s="4">
        <v>40000</v>
      </c>
      <c r="F207" s="3">
        <v>39291.15</v>
      </c>
      <c r="G207" s="3">
        <f>tblData[[#This Row],[Actual]]-tblData[[#This Row],[Budget]]</f>
        <v>-708.84999999999854</v>
      </c>
      <c r="H207" s="1">
        <f>IF(tblData[[#This Row],[Budget]]=0,0,tblData[[#This Row],[Variance]]/tblData[[#This Row],[Budget]])</f>
        <v>-1.7721249999999963E-2</v>
      </c>
      <c r="I207" t="str">
        <f>IF(tblData[[#This Row],[Type]]="Revenue",IF(tblData[[#This Row],[Variance]]&gt;=0,"Favourable","Adverse"),IF(tblData[[#This Row],[Variance]]&lt;=0,"Favourable","Adverse"))</f>
        <v>Favourable</v>
      </c>
      <c r="J207" t="str">
        <f>"Q"&amp;ROUNDUP(VALUE(RIGHT(tblData[[#This Row],[Month]],2))/3,0)</f>
        <v>Q4</v>
      </c>
      <c r="K207" t="str">
        <f>_xlfn.XLOOKUP(tblData[[#This Row],[Department]], tblOwners[Department], tblOwners[Budget Owner], "Not found")</f>
        <v>Siobhan Kelly</v>
      </c>
    </row>
    <row r="208" spans="1:11" x14ac:dyDescent="0.3">
      <c r="A208" t="s">
        <v>38</v>
      </c>
      <c r="B208" t="s">
        <v>17</v>
      </c>
      <c r="C208" t="s">
        <v>19</v>
      </c>
      <c r="D208" t="s">
        <v>12</v>
      </c>
      <c r="E208" s="4">
        <v>55000</v>
      </c>
      <c r="F208" s="3">
        <v>67989.66</v>
      </c>
      <c r="G208" s="3">
        <f>tblData[[#This Row],[Actual]]-tblData[[#This Row],[Budget]]</f>
        <v>12989.660000000003</v>
      </c>
      <c r="H208" s="1">
        <f>IF(tblData[[#This Row],[Budget]]=0,0,tblData[[#This Row],[Variance]]/tblData[[#This Row],[Budget]])</f>
        <v>0.23617563636363642</v>
      </c>
      <c r="I208" t="str">
        <f>IF(tblData[[#This Row],[Type]]="Revenue",IF(tblData[[#This Row],[Variance]]&gt;=0,"Favourable","Adverse"),IF(tblData[[#This Row],[Variance]]&lt;=0,"Favourable","Adverse"))</f>
        <v>Adverse</v>
      </c>
      <c r="J208" t="str">
        <f>"Q"&amp;ROUNDUP(VALUE(RIGHT(tblData[[#This Row],[Month]],2))/3,0)</f>
        <v>Q4</v>
      </c>
      <c r="K208" t="str">
        <f>_xlfn.XLOOKUP(tblData[[#This Row],[Department]], tblOwners[Department], tblOwners[Budget Owner], "Not found")</f>
        <v>Siobhan Kelly</v>
      </c>
    </row>
    <row r="209" spans="1:11" x14ac:dyDescent="0.3">
      <c r="A209" t="s">
        <v>38</v>
      </c>
      <c r="B209" t="s">
        <v>17</v>
      </c>
      <c r="C209" t="s">
        <v>11</v>
      </c>
      <c r="D209" t="s">
        <v>12</v>
      </c>
      <c r="E209" s="4">
        <v>70000</v>
      </c>
      <c r="F209" s="3">
        <v>68468.92</v>
      </c>
      <c r="G209" s="3">
        <f>tblData[[#This Row],[Actual]]-tblData[[#This Row],[Budget]]</f>
        <v>-1531.0800000000017</v>
      </c>
      <c r="H209" s="1">
        <f>IF(tblData[[#This Row],[Budget]]=0,0,tblData[[#This Row],[Variance]]/tblData[[#This Row],[Budget]])</f>
        <v>-2.1872571428571453E-2</v>
      </c>
      <c r="I209" t="str">
        <f>IF(tblData[[#This Row],[Type]]="Revenue",IF(tblData[[#This Row],[Variance]]&gt;=0,"Favourable","Adverse"),IF(tblData[[#This Row],[Variance]]&lt;=0,"Favourable","Adverse"))</f>
        <v>Favourable</v>
      </c>
      <c r="J209" t="str">
        <f>"Q"&amp;ROUNDUP(VALUE(RIGHT(tblData[[#This Row],[Month]],2))/3,0)</f>
        <v>Q4</v>
      </c>
      <c r="K209" t="str">
        <f>_xlfn.XLOOKUP(tblData[[#This Row],[Department]], tblOwners[Department], tblOwners[Budget Owner], "Not found")</f>
        <v>Siobhan Kelly</v>
      </c>
    </row>
    <row r="210" spans="1:11" x14ac:dyDescent="0.3">
      <c r="A210" t="s">
        <v>38</v>
      </c>
      <c r="B210" t="s">
        <v>20</v>
      </c>
      <c r="C210" t="s">
        <v>21</v>
      </c>
      <c r="D210" t="s">
        <v>12</v>
      </c>
      <c r="E210" s="4">
        <v>18000</v>
      </c>
      <c r="F210" s="3">
        <v>21726.98</v>
      </c>
      <c r="G210" s="3">
        <f>tblData[[#This Row],[Actual]]-tblData[[#This Row],[Budget]]</f>
        <v>3726.9799999999996</v>
      </c>
      <c r="H210" s="1">
        <f>IF(tblData[[#This Row],[Budget]]=0,0,tblData[[#This Row],[Variance]]/tblData[[#This Row],[Budget]])</f>
        <v>0.20705444444444443</v>
      </c>
      <c r="I210" t="str">
        <f>IF(tblData[[#This Row],[Type]]="Revenue",IF(tblData[[#This Row],[Variance]]&gt;=0,"Favourable","Adverse"),IF(tblData[[#This Row],[Variance]]&lt;=0,"Favourable","Adverse"))</f>
        <v>Adverse</v>
      </c>
      <c r="J210" t="str">
        <f>"Q"&amp;ROUNDUP(VALUE(RIGHT(tblData[[#This Row],[Month]],2))/3,0)</f>
        <v>Q4</v>
      </c>
      <c r="K210" t="str">
        <f>_xlfn.XLOOKUP(tblData[[#This Row],[Department]], tblOwners[Department], tblOwners[Budget Owner], "Not found")</f>
        <v>Ravi Sharma</v>
      </c>
    </row>
    <row r="211" spans="1:11" x14ac:dyDescent="0.3">
      <c r="A211" t="s">
        <v>38</v>
      </c>
      <c r="B211" t="s">
        <v>20</v>
      </c>
      <c r="C211" t="s">
        <v>22</v>
      </c>
      <c r="D211" t="s">
        <v>12</v>
      </c>
      <c r="E211" s="4">
        <v>8000</v>
      </c>
      <c r="F211" s="3">
        <v>7960.96</v>
      </c>
      <c r="G211" s="3">
        <f>tblData[[#This Row],[Actual]]-tblData[[#This Row],[Budget]]</f>
        <v>-39.039999999999964</v>
      </c>
      <c r="H211" s="1">
        <f>IF(tblData[[#This Row],[Budget]]=0,0,tblData[[#This Row],[Variance]]/tblData[[#This Row],[Budget]])</f>
        <v>-4.8799999999999955E-3</v>
      </c>
      <c r="I211" t="str">
        <f>IF(tblData[[#This Row],[Type]]="Revenue",IF(tblData[[#This Row],[Variance]]&gt;=0,"Favourable","Adverse"),IF(tblData[[#This Row],[Variance]]&lt;=0,"Favourable","Adverse"))</f>
        <v>Favourable</v>
      </c>
      <c r="J211" t="str">
        <f>"Q"&amp;ROUNDUP(VALUE(RIGHT(tblData[[#This Row],[Month]],2))/3,0)</f>
        <v>Q4</v>
      </c>
      <c r="K211" t="str">
        <f>_xlfn.XLOOKUP(tblData[[#This Row],[Department]], tblOwners[Department], tblOwners[Budget Owner], "Not found")</f>
        <v>Ravi Sharma</v>
      </c>
    </row>
    <row r="212" spans="1:11" x14ac:dyDescent="0.3">
      <c r="A212" t="s">
        <v>38</v>
      </c>
      <c r="B212" t="s">
        <v>20</v>
      </c>
      <c r="C212" t="s">
        <v>11</v>
      </c>
      <c r="D212" t="s">
        <v>12</v>
      </c>
      <c r="E212" s="4">
        <v>35000</v>
      </c>
      <c r="F212" s="3">
        <v>33884.46</v>
      </c>
      <c r="G212" s="3">
        <f>tblData[[#This Row],[Actual]]-tblData[[#This Row],[Budget]]</f>
        <v>-1115.5400000000009</v>
      </c>
      <c r="H212" s="1">
        <f>IF(tblData[[#This Row],[Budget]]=0,0,tblData[[#This Row],[Variance]]/tblData[[#This Row],[Budget]])</f>
        <v>-3.1872571428571451E-2</v>
      </c>
      <c r="I212" t="str">
        <f>IF(tblData[[#This Row],[Type]]="Revenue",IF(tblData[[#This Row],[Variance]]&gt;=0,"Favourable","Adverse"),IF(tblData[[#This Row],[Variance]]&lt;=0,"Favourable","Adverse"))</f>
        <v>Favourable</v>
      </c>
      <c r="J212" t="str">
        <f>"Q"&amp;ROUNDUP(VALUE(RIGHT(tblData[[#This Row],[Month]],2))/3,0)</f>
        <v>Q4</v>
      </c>
      <c r="K212" t="str">
        <f>_xlfn.XLOOKUP(tblData[[#This Row],[Department]], tblOwners[Department], tblOwners[Budget Owner], "Not found")</f>
        <v>Ravi Sharma</v>
      </c>
    </row>
    <row r="213" spans="1:11" x14ac:dyDescent="0.3">
      <c r="A213" t="s">
        <v>38</v>
      </c>
      <c r="B213" t="s">
        <v>23</v>
      </c>
      <c r="C213" t="s">
        <v>24</v>
      </c>
      <c r="D213" t="s">
        <v>12</v>
      </c>
      <c r="E213" s="4">
        <v>6000</v>
      </c>
      <c r="F213" s="3">
        <v>5904.7</v>
      </c>
      <c r="G213" s="3">
        <f>tblData[[#This Row],[Actual]]-tblData[[#This Row],[Budget]]</f>
        <v>-95.300000000000182</v>
      </c>
      <c r="H213" s="1">
        <f>IF(tblData[[#This Row],[Budget]]=0,0,tblData[[#This Row],[Variance]]/tblData[[#This Row],[Budget]])</f>
        <v>-1.5883333333333364E-2</v>
      </c>
      <c r="I213" t="str">
        <f>IF(tblData[[#This Row],[Type]]="Revenue",IF(tblData[[#This Row],[Variance]]&gt;=0,"Favourable","Adverse"),IF(tblData[[#This Row],[Variance]]&lt;=0,"Favourable","Adverse"))</f>
        <v>Favourable</v>
      </c>
      <c r="J213" t="str">
        <f>"Q"&amp;ROUNDUP(VALUE(RIGHT(tblData[[#This Row],[Month]],2))/3,0)</f>
        <v>Q4</v>
      </c>
      <c r="K213" t="str">
        <f>_xlfn.XLOOKUP(tblData[[#This Row],[Department]], tblOwners[Department], tblOwners[Budget Owner], "Not found")</f>
        <v>Niamh Walsh</v>
      </c>
    </row>
    <row r="214" spans="1:11" x14ac:dyDescent="0.3">
      <c r="A214" t="s">
        <v>38</v>
      </c>
      <c r="B214" t="s">
        <v>23</v>
      </c>
      <c r="C214" t="s">
        <v>25</v>
      </c>
      <c r="D214" t="s">
        <v>12</v>
      </c>
      <c r="E214" s="4">
        <v>5000</v>
      </c>
      <c r="F214" s="3">
        <v>4868.47</v>
      </c>
      <c r="G214" s="3">
        <f>tblData[[#This Row],[Actual]]-tblData[[#This Row],[Budget]]</f>
        <v>-131.52999999999975</v>
      </c>
      <c r="H214" s="1">
        <f>IF(tblData[[#This Row],[Budget]]=0,0,tblData[[#This Row],[Variance]]/tblData[[#This Row],[Budget]])</f>
        <v>-2.6305999999999947E-2</v>
      </c>
      <c r="I214" t="str">
        <f>IF(tblData[[#This Row],[Type]]="Revenue",IF(tblData[[#This Row],[Variance]]&gt;=0,"Favourable","Adverse"),IF(tblData[[#This Row],[Variance]]&lt;=0,"Favourable","Adverse"))</f>
        <v>Favourable</v>
      </c>
      <c r="J214" t="str">
        <f>"Q"&amp;ROUNDUP(VALUE(RIGHT(tblData[[#This Row],[Month]],2))/3,0)</f>
        <v>Q4</v>
      </c>
      <c r="K214" t="str">
        <f>_xlfn.XLOOKUP(tblData[[#This Row],[Department]], tblOwners[Department], tblOwners[Budget Owner], "Not found")</f>
        <v>Niamh Walsh</v>
      </c>
    </row>
    <row r="215" spans="1:11" x14ac:dyDescent="0.3">
      <c r="A215" t="s">
        <v>38</v>
      </c>
      <c r="B215" t="s">
        <v>23</v>
      </c>
      <c r="C215" t="s">
        <v>11</v>
      </c>
      <c r="D215" t="s">
        <v>12</v>
      </c>
      <c r="E215" s="4">
        <v>20000</v>
      </c>
      <c r="F215" s="3">
        <v>19943.439999999999</v>
      </c>
      <c r="G215" s="3">
        <f>tblData[[#This Row],[Actual]]-tblData[[#This Row],[Budget]]</f>
        <v>-56.56000000000131</v>
      </c>
      <c r="H215" s="1">
        <f>IF(tblData[[#This Row],[Budget]]=0,0,tblData[[#This Row],[Variance]]/tblData[[#This Row],[Budget]])</f>
        <v>-2.8280000000000653E-3</v>
      </c>
      <c r="I215" t="str">
        <f>IF(tblData[[#This Row],[Type]]="Revenue",IF(tblData[[#This Row],[Variance]]&gt;=0,"Favourable","Adverse"),IF(tblData[[#This Row],[Variance]]&lt;=0,"Favourable","Adverse"))</f>
        <v>Favourable</v>
      </c>
      <c r="J215" t="str">
        <f>"Q"&amp;ROUNDUP(VALUE(RIGHT(tblData[[#This Row],[Month]],2))/3,0)</f>
        <v>Q4</v>
      </c>
      <c r="K215" t="str">
        <f>_xlfn.XLOOKUP(tblData[[#This Row],[Department]], tblOwners[Department], tblOwners[Budget Owner], "Not found")</f>
        <v>Niamh Walsh</v>
      </c>
    </row>
    <row r="216" spans="1:11" x14ac:dyDescent="0.3">
      <c r="A216" t="s">
        <v>38</v>
      </c>
      <c r="B216" t="s">
        <v>26</v>
      </c>
      <c r="C216" t="s">
        <v>27</v>
      </c>
      <c r="D216" t="s">
        <v>12</v>
      </c>
      <c r="E216" s="4">
        <v>7000</v>
      </c>
      <c r="F216" s="3">
        <v>6630.88</v>
      </c>
      <c r="G216" s="3">
        <f>tblData[[#This Row],[Actual]]-tblData[[#This Row],[Budget]]</f>
        <v>-369.11999999999989</v>
      </c>
      <c r="H216" s="1">
        <f>IF(tblData[[#This Row],[Budget]]=0,0,tblData[[#This Row],[Variance]]/tblData[[#This Row],[Budget]])</f>
        <v>-5.2731428571428554E-2</v>
      </c>
      <c r="I216" t="str">
        <f>IF(tblData[[#This Row],[Type]]="Revenue",IF(tblData[[#This Row],[Variance]]&gt;=0,"Favourable","Adverse"),IF(tblData[[#This Row],[Variance]]&lt;=0,"Favourable","Adverse"))</f>
        <v>Favourable</v>
      </c>
      <c r="J216" t="str">
        <f>"Q"&amp;ROUNDUP(VALUE(RIGHT(tblData[[#This Row],[Month]],2))/3,0)</f>
        <v>Q4</v>
      </c>
      <c r="K216" t="str">
        <f>_xlfn.XLOOKUP(tblData[[#This Row],[Department]], tblOwners[Department], tblOwners[Budget Owner], "Not found")</f>
        <v>Conor Murphy</v>
      </c>
    </row>
    <row r="217" spans="1:11" x14ac:dyDescent="0.3">
      <c r="A217" t="s">
        <v>38</v>
      </c>
      <c r="B217" t="s">
        <v>26</v>
      </c>
      <c r="C217" t="s">
        <v>11</v>
      </c>
      <c r="D217" t="s">
        <v>12</v>
      </c>
      <c r="E217" s="4">
        <v>25000</v>
      </c>
      <c r="F217" s="3">
        <v>23899.72</v>
      </c>
      <c r="G217" s="3">
        <f>tblData[[#This Row],[Actual]]-tblData[[#This Row],[Budget]]</f>
        <v>-1100.2799999999988</v>
      </c>
      <c r="H217" s="1">
        <f>IF(tblData[[#This Row],[Budget]]=0,0,tblData[[#This Row],[Variance]]/tblData[[#This Row],[Budget]])</f>
        <v>-4.4011199999999952E-2</v>
      </c>
      <c r="I217" t="str">
        <f>IF(tblData[[#This Row],[Type]]="Revenue",IF(tblData[[#This Row],[Variance]]&gt;=0,"Favourable","Adverse"),IF(tblData[[#This Row],[Variance]]&lt;=0,"Favourable","Adverse"))</f>
        <v>Favourable</v>
      </c>
      <c r="J217" t="str">
        <f>"Q"&amp;ROUNDUP(VALUE(RIGHT(tblData[[#This Row],[Month]],2))/3,0)</f>
        <v>Q4</v>
      </c>
      <c r="K217" t="str">
        <f>_xlfn.XLOOKUP(tblData[[#This Row],[Department]], tblOwners[Department], tblOwners[Budget Owner], "Not found")</f>
        <v>Conor Murphy</v>
      </c>
    </row>
  </sheetData>
  <conditionalFormatting sqref="I1:I1048576">
    <cfRule type="containsText" dxfId="8" priority="1" operator="containsText" text="Favourable">
      <formula>NOT(ISERROR(SEARCH("Favourable",I1)))</formula>
    </cfRule>
  </conditionalFormatting>
  <conditionalFormatting sqref="I2:I217">
    <cfRule type="containsText" dxfId="7" priority="2" operator="containsText" text="Adverse">
      <formula>NOT(ISERROR(SEARCH("Adverse",I2)))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A9AD-572B-45B2-A948-36A5BDE58397}">
  <dimension ref="A1:D7"/>
  <sheetViews>
    <sheetView workbookViewId="0">
      <selection activeCell="B1" sqref="B1"/>
    </sheetView>
  </sheetViews>
  <sheetFormatPr defaultRowHeight="14.4" x14ac:dyDescent="0.3"/>
  <cols>
    <col min="1" max="1" width="13.21875" bestFit="1" customWidth="1"/>
    <col min="2" max="2" width="14.6640625" bestFit="1" customWidth="1"/>
    <col min="3" max="3" width="12.88671875" bestFit="1" customWidth="1"/>
    <col min="4" max="4" width="29.109375" bestFit="1" customWidth="1"/>
    <col min="5" max="5" width="10.6640625" bestFit="1" customWidth="1"/>
    <col min="6" max="6" width="12.77734375" bestFit="1" customWidth="1"/>
    <col min="7" max="7" width="10.6640625" bestFit="1" customWidth="1"/>
    <col min="8" max="8" width="29.109375" bestFit="1" customWidth="1"/>
  </cols>
  <sheetData>
    <row r="1" spans="1:4" x14ac:dyDescent="0.3">
      <c r="A1" t="s">
        <v>1</v>
      </c>
      <c r="B1" t="s">
        <v>59</v>
      </c>
      <c r="C1" t="s">
        <v>60</v>
      </c>
      <c r="D1" t="s">
        <v>61</v>
      </c>
    </row>
    <row r="2" spans="1:4" x14ac:dyDescent="0.3">
      <c r="A2" s="12" t="s">
        <v>7</v>
      </c>
      <c r="B2" s="12" t="s">
        <v>62</v>
      </c>
      <c r="C2" s="12" t="s">
        <v>63</v>
      </c>
      <c r="D2" s="12" t="s">
        <v>64</v>
      </c>
    </row>
    <row r="3" spans="1:4" x14ac:dyDescent="0.3">
      <c r="A3" s="12" t="s">
        <v>14</v>
      </c>
      <c r="B3" s="12" t="s">
        <v>65</v>
      </c>
      <c r="C3" s="12" t="s">
        <v>66</v>
      </c>
      <c r="D3" s="12" t="s">
        <v>67</v>
      </c>
    </row>
    <row r="4" spans="1:4" x14ac:dyDescent="0.3">
      <c r="A4" s="12" t="s">
        <v>17</v>
      </c>
      <c r="B4" s="12" t="s">
        <v>68</v>
      </c>
      <c r="C4" s="12" t="s">
        <v>69</v>
      </c>
      <c r="D4" s="12" t="s">
        <v>70</v>
      </c>
    </row>
    <row r="5" spans="1:4" x14ac:dyDescent="0.3">
      <c r="A5" s="12" t="s">
        <v>20</v>
      </c>
      <c r="B5" s="12" t="s">
        <v>71</v>
      </c>
      <c r="C5" s="12" t="s">
        <v>72</v>
      </c>
      <c r="D5" s="12" t="s">
        <v>73</v>
      </c>
    </row>
    <row r="6" spans="1:4" x14ac:dyDescent="0.3">
      <c r="A6" s="12" t="s">
        <v>23</v>
      </c>
      <c r="B6" s="12" t="s">
        <v>74</v>
      </c>
      <c r="C6" s="12" t="s">
        <v>75</v>
      </c>
      <c r="D6" s="12" t="s">
        <v>76</v>
      </c>
    </row>
    <row r="7" spans="1:4" x14ac:dyDescent="0.3">
      <c r="A7" s="12" t="s">
        <v>26</v>
      </c>
      <c r="B7" s="12" t="s">
        <v>77</v>
      </c>
      <c r="C7" s="12" t="s">
        <v>78</v>
      </c>
      <c r="D7" s="12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9BFF-6C1B-489E-B9E5-050E9E045A1C}">
  <dimension ref="A1:F38"/>
  <sheetViews>
    <sheetView tabSelected="1" topLeftCell="A15" zoomScale="79" workbookViewId="0">
      <selection activeCell="E38" sqref="E38"/>
    </sheetView>
  </sheetViews>
  <sheetFormatPr defaultRowHeight="14.4" x14ac:dyDescent="0.3"/>
  <cols>
    <col min="1" max="1" width="39.88671875" customWidth="1"/>
    <col min="2" max="2" width="14.77734375" customWidth="1"/>
    <col min="3" max="3" width="13.33203125" customWidth="1"/>
    <col min="4" max="4" width="13.109375" customWidth="1"/>
    <col min="5" max="5" width="15.88671875" customWidth="1"/>
    <col min="6" max="6" width="14.44140625" customWidth="1"/>
  </cols>
  <sheetData>
    <row r="1" spans="1:6" x14ac:dyDescent="0.3">
      <c r="A1" t="s">
        <v>43</v>
      </c>
    </row>
    <row r="3" spans="1:6" x14ac:dyDescent="0.3">
      <c r="A3" t="s">
        <v>44</v>
      </c>
      <c r="B3" t="s">
        <v>4</v>
      </c>
      <c r="C3" t="s">
        <v>5</v>
      </c>
      <c r="D3" t="s">
        <v>39</v>
      </c>
      <c r="E3" t="s">
        <v>40</v>
      </c>
    </row>
    <row r="4" spans="1:6" x14ac:dyDescent="0.3">
      <c r="A4" t="s">
        <v>9</v>
      </c>
      <c r="B4" s="4">
        <f>SUMIFS(tblData[Budget],tblData[Type],"Revenue")</f>
        <v>5808000</v>
      </c>
      <c r="C4" s="3">
        <f>SUMIFS(tblData[Actual],tblData[Type],"Revenue")</f>
        <v>5700474.4500000002</v>
      </c>
      <c r="D4" s="3">
        <f>C4-B4</f>
        <v>-107525.54999999981</v>
      </c>
      <c r="E4" s="2">
        <f>D4/B4</f>
        <v>-1.851335227272724E-2</v>
      </c>
    </row>
    <row r="5" spans="1:6" x14ac:dyDescent="0.3">
      <c r="A5" t="s">
        <v>45</v>
      </c>
      <c r="B5" s="4">
        <f>SUMIFS(tblData[Budget],tblData[Type],"Expense")</f>
        <v>5652000</v>
      </c>
      <c r="C5" s="3">
        <f>SUMIFS(tblData[Actual],tblData[Type],"Expense")</f>
        <v>5713733.2000000011</v>
      </c>
      <c r="D5" s="3">
        <f t="shared" ref="D5:D6" si="0">C5-B5</f>
        <v>61733.200000001118</v>
      </c>
      <c r="E5" s="2">
        <f t="shared" ref="E5:E6" si="1">D5/B5</f>
        <v>1.0922363765039121E-2</v>
      </c>
    </row>
    <row r="6" spans="1:6" x14ac:dyDescent="0.3">
      <c r="A6" t="s">
        <v>46</v>
      </c>
      <c r="B6" s="4">
        <f>B4-B5</f>
        <v>156000</v>
      </c>
      <c r="C6" s="3">
        <f>C4-C5</f>
        <v>-13258.750000000931</v>
      </c>
      <c r="D6" s="3">
        <f t="shared" si="0"/>
        <v>-169258.75000000093</v>
      </c>
      <c r="E6" s="2">
        <f t="shared" si="1"/>
        <v>-1.0849919871794931</v>
      </c>
    </row>
    <row r="9" spans="1:6" x14ac:dyDescent="0.3">
      <c r="A9" t="s">
        <v>1</v>
      </c>
      <c r="B9" t="s">
        <v>4</v>
      </c>
      <c r="C9" t="s">
        <v>5</v>
      </c>
      <c r="D9" t="s">
        <v>39</v>
      </c>
      <c r="E9" t="s">
        <v>40</v>
      </c>
      <c r="F9" t="s">
        <v>41</v>
      </c>
    </row>
    <row r="10" spans="1:6" x14ac:dyDescent="0.3">
      <c r="A10" t="s">
        <v>7</v>
      </c>
      <c r="B10" s="4">
        <f>SUMIFS(tblData[Budget],tblData[Department],A10,tblData[Type],"Expense")</f>
        <v>1164000</v>
      </c>
      <c r="C10" s="3">
        <f>SUMIFS(tblData[Actual],tblData[Department],A10,tblData[Type],"Expense")</f>
        <v>1127827.23</v>
      </c>
      <c r="D10" s="3">
        <f>C10-B10</f>
        <v>-36172.770000000019</v>
      </c>
      <c r="E10" s="2">
        <f>D10/B10</f>
        <v>-3.1076262886597955E-2</v>
      </c>
      <c r="F10" t="str">
        <f>IF(D10&lt;=0,"Favourable","Adverse")</f>
        <v>Favourable</v>
      </c>
    </row>
    <row r="11" spans="1:6" x14ac:dyDescent="0.3">
      <c r="A11" t="s">
        <v>14</v>
      </c>
      <c r="B11" s="4">
        <f>SUMIFS(tblData[Budget],tblData[Department],A11,tblData[Type],"Expense")</f>
        <v>1020000</v>
      </c>
      <c r="C11" s="3">
        <f>SUMIFS(tblData[Actual],tblData[Department],A11,tblData[Type],"Expense")</f>
        <v>1059059.8200000003</v>
      </c>
      <c r="D11" s="3">
        <f t="shared" ref="D11:D15" si="2">C11-B11</f>
        <v>39059.820000000298</v>
      </c>
      <c r="E11" s="2">
        <f t="shared" ref="E11:E15" si="3">D11/B11</f>
        <v>3.8293941176470878E-2</v>
      </c>
      <c r="F11" t="str">
        <f>IF(D11&lt;=0,"Favourable","Adverse")</f>
        <v>Adverse</v>
      </c>
    </row>
    <row r="12" spans="1:6" x14ac:dyDescent="0.3">
      <c r="A12" t="s">
        <v>17</v>
      </c>
      <c r="B12" s="4">
        <f>SUMIFS(tblData[Budget],tblData[Department],A12,tblData[Type],"Expense")</f>
        <v>1980000</v>
      </c>
      <c r="C12" s="3">
        <f>SUMIFS(tblData[Actual],tblData[Department],A12,tblData[Type],"Expense")</f>
        <v>2009914.3999999997</v>
      </c>
      <c r="D12" s="3">
        <f t="shared" si="2"/>
        <v>29914.399999999674</v>
      </c>
      <c r="E12" s="2">
        <f t="shared" si="3"/>
        <v>1.5108282828282664E-2</v>
      </c>
      <c r="F12" t="str">
        <f t="shared" ref="F12:F15" si="4">IF(D12&lt;=0,"Favourable","Adverse")</f>
        <v>Adverse</v>
      </c>
    </row>
    <row r="13" spans="1:6" x14ac:dyDescent="0.3">
      <c r="A13" t="s">
        <v>20</v>
      </c>
      <c r="B13" s="4">
        <f>SUMIFS(tblData[Budget],tblData[Department],A13,tblData[Type],"Expense")</f>
        <v>732000</v>
      </c>
      <c r="C13" s="3">
        <f>SUMIFS(tblData[Actual],tblData[Department],A13,tblData[Type],"Expense")</f>
        <v>754878.2300000001</v>
      </c>
      <c r="D13" s="3">
        <f t="shared" si="2"/>
        <v>22878.230000000098</v>
      </c>
      <c r="E13" s="2">
        <f t="shared" si="3"/>
        <v>3.1254412568306147E-2</v>
      </c>
      <c r="F13" t="str">
        <f t="shared" si="4"/>
        <v>Adverse</v>
      </c>
    </row>
    <row r="14" spans="1:6" x14ac:dyDescent="0.3">
      <c r="A14" t="s">
        <v>23</v>
      </c>
      <c r="B14" s="4">
        <f>SUMIFS(tblData[Budget],tblData[Department],A14,tblData[Type],"Expense")</f>
        <v>372000</v>
      </c>
      <c r="C14" s="3">
        <f>SUMIFS(tblData[Actual],tblData[Department],A14,tblData[Type],"Expense")</f>
        <v>378172.68999999994</v>
      </c>
      <c r="D14" s="3">
        <f t="shared" si="2"/>
        <v>6172.6899999999441</v>
      </c>
      <c r="E14" s="2">
        <f t="shared" si="3"/>
        <v>1.6593252688171894E-2</v>
      </c>
      <c r="F14" t="str">
        <f t="shared" si="4"/>
        <v>Adverse</v>
      </c>
    </row>
    <row r="15" spans="1:6" x14ac:dyDescent="0.3">
      <c r="A15" t="s">
        <v>26</v>
      </c>
      <c r="B15" s="4">
        <f>SUMIFS(tblData[Budget],tblData[Department],A15,tblData[Type],"Expense")</f>
        <v>384000</v>
      </c>
      <c r="C15" s="3">
        <f>SUMIFS(tblData[Actual],tblData[Department],A15,tblData[Type],"Expense")</f>
        <v>383880.82999999996</v>
      </c>
      <c r="D15" s="3">
        <f t="shared" si="2"/>
        <v>-119.17000000004191</v>
      </c>
      <c r="E15" s="2">
        <f t="shared" si="3"/>
        <v>-3.1033854166677579E-4</v>
      </c>
      <c r="F15" t="str">
        <f t="shared" si="4"/>
        <v>Favourable</v>
      </c>
    </row>
    <row r="18" spans="1:4" x14ac:dyDescent="0.3">
      <c r="A18" t="s">
        <v>0</v>
      </c>
      <c r="B18" t="s">
        <v>57</v>
      </c>
      <c r="C18" t="s">
        <v>58</v>
      </c>
      <c r="D18" t="s">
        <v>39</v>
      </c>
    </row>
    <row r="19" spans="1:4" x14ac:dyDescent="0.3">
      <c r="A19" s="11" t="s">
        <v>6</v>
      </c>
      <c r="B19" s="4">
        <f>SUMIFS(tblData[Budget],tblData[Month],A19,tblData[Type],"Revenue")</f>
        <v>408000</v>
      </c>
      <c r="C19" s="4">
        <f>SUMIFS(tblData[Actual],tblData[Month],A19,tblData[Type],"Revenue")</f>
        <v>409672.34</v>
      </c>
      <c r="D19" s="4">
        <f>C19-B19</f>
        <v>1672.3400000000256</v>
      </c>
    </row>
    <row r="20" spans="1:4" x14ac:dyDescent="0.3">
      <c r="A20" s="11" t="s">
        <v>28</v>
      </c>
      <c r="B20" s="4">
        <f>SUMIFS(tblData[Budget],tblData[Month],A20,tblData[Type],"Revenue")</f>
        <v>408000</v>
      </c>
      <c r="C20" s="4">
        <f>SUMIFS(tblData[Actual],tblData[Month],A20,tblData[Type],"Revenue")</f>
        <v>407182.44999999995</v>
      </c>
      <c r="D20" s="4">
        <f t="shared" ref="D20:D30" si="5">C20-B20</f>
        <v>-817.55000000004657</v>
      </c>
    </row>
    <row r="21" spans="1:4" x14ac:dyDescent="0.3">
      <c r="A21" s="11" t="s">
        <v>29</v>
      </c>
      <c r="B21" s="4">
        <f>SUMIFS(tblData[Budget],tblData[Month],A21,tblData[Type],"Revenue")</f>
        <v>456000</v>
      </c>
      <c r="C21" s="4">
        <f>SUMIFS(tblData[Actual],tblData[Month],A21,tblData[Type],"Revenue")</f>
        <v>447243.47000000003</v>
      </c>
      <c r="D21" s="4">
        <f t="shared" si="5"/>
        <v>-8756.5299999999697</v>
      </c>
    </row>
    <row r="22" spans="1:4" x14ac:dyDescent="0.3">
      <c r="A22" s="11" t="s">
        <v>30</v>
      </c>
      <c r="B22" s="4">
        <f>SUMIFS(tblData[Budget],tblData[Month],A22,tblData[Type],"Revenue")</f>
        <v>456000</v>
      </c>
      <c r="C22" s="4">
        <f>SUMIFS(tblData[Actual],tblData[Month],A22,tblData[Type],"Revenue")</f>
        <v>412969.14999999997</v>
      </c>
      <c r="D22" s="4">
        <f t="shared" si="5"/>
        <v>-43030.850000000035</v>
      </c>
    </row>
    <row r="23" spans="1:4" x14ac:dyDescent="0.3">
      <c r="A23" s="11" t="s">
        <v>31</v>
      </c>
      <c r="B23" s="4">
        <f>SUMIFS(tblData[Budget],tblData[Month],A23,tblData[Type],"Revenue")</f>
        <v>480000</v>
      </c>
      <c r="C23" s="4">
        <f>SUMIFS(tblData[Actual],tblData[Month],A23,tblData[Type],"Revenue")</f>
        <v>427823.69</v>
      </c>
      <c r="D23" s="4">
        <f t="shared" si="5"/>
        <v>-52176.31</v>
      </c>
    </row>
    <row r="24" spans="1:4" x14ac:dyDescent="0.3">
      <c r="A24" s="11" t="s">
        <v>32</v>
      </c>
      <c r="B24" s="4">
        <f>SUMIFS(tblData[Budget],tblData[Month],A24,tblData[Type],"Revenue")</f>
        <v>480000</v>
      </c>
      <c r="C24" s="4">
        <f>SUMIFS(tblData[Actual],tblData[Month],A24,tblData[Type],"Revenue")</f>
        <v>421313.29</v>
      </c>
      <c r="D24" s="4">
        <f t="shared" si="5"/>
        <v>-58686.710000000021</v>
      </c>
    </row>
    <row r="25" spans="1:4" x14ac:dyDescent="0.3">
      <c r="A25" s="11" t="s">
        <v>33</v>
      </c>
      <c r="B25" s="4">
        <f>SUMIFS(tblData[Budget],tblData[Month],A25,tblData[Type],"Revenue")</f>
        <v>456000</v>
      </c>
      <c r="C25" s="4">
        <f>SUMIFS(tblData[Actual],tblData[Month],A25,tblData[Type],"Revenue")</f>
        <v>474763.99</v>
      </c>
      <c r="D25" s="4">
        <f t="shared" si="5"/>
        <v>18763.989999999991</v>
      </c>
    </row>
    <row r="26" spans="1:4" x14ac:dyDescent="0.3">
      <c r="A26" s="11" t="s">
        <v>34</v>
      </c>
      <c r="B26" s="4">
        <f>SUMIFS(tblData[Budget],tblData[Month],A26,tblData[Type],"Revenue")</f>
        <v>456000</v>
      </c>
      <c r="C26" s="4">
        <f>SUMIFS(tblData[Actual],tblData[Month],A26,tblData[Type],"Revenue")</f>
        <v>484883.57</v>
      </c>
      <c r="D26" s="4">
        <f t="shared" si="5"/>
        <v>28883.570000000007</v>
      </c>
    </row>
    <row r="27" spans="1:4" x14ac:dyDescent="0.3">
      <c r="A27" s="11" t="s">
        <v>35</v>
      </c>
      <c r="B27" s="4">
        <f>SUMIFS(tblData[Budget],tblData[Month],A27,tblData[Type],"Revenue")</f>
        <v>480000</v>
      </c>
      <c r="C27" s="4">
        <f>SUMIFS(tblData[Actual],tblData[Month],A27,tblData[Type],"Revenue")</f>
        <v>471575.98</v>
      </c>
      <c r="D27" s="4">
        <f t="shared" si="5"/>
        <v>-8424.0200000000186</v>
      </c>
    </row>
    <row r="28" spans="1:4" x14ac:dyDescent="0.3">
      <c r="A28" s="11" t="s">
        <v>36</v>
      </c>
      <c r="B28" s="4">
        <f>SUMIFS(tblData[Budget],tblData[Month],A28,tblData[Type],"Revenue")</f>
        <v>528000</v>
      </c>
      <c r="C28" s="4">
        <f>SUMIFS(tblData[Actual],tblData[Month],A28,tblData[Type],"Revenue")</f>
        <v>534547.42999999993</v>
      </c>
      <c r="D28" s="4">
        <f t="shared" si="5"/>
        <v>6547.4299999999348</v>
      </c>
    </row>
    <row r="29" spans="1:4" x14ac:dyDescent="0.3">
      <c r="A29" s="11" t="s">
        <v>37</v>
      </c>
      <c r="B29" s="4">
        <f>SUMIFS(tblData[Budget],tblData[Month],A29,tblData[Type],"Revenue")</f>
        <v>576000</v>
      </c>
      <c r="C29" s="4">
        <f>SUMIFS(tblData[Actual],tblData[Month],A29,tblData[Type],"Revenue")</f>
        <v>584144.29</v>
      </c>
      <c r="D29" s="4">
        <f t="shared" si="5"/>
        <v>8144.2900000000373</v>
      </c>
    </row>
    <row r="30" spans="1:4" x14ac:dyDescent="0.3">
      <c r="A30" s="11" t="s">
        <v>38</v>
      </c>
      <c r="B30" s="4">
        <f>SUMIFS(tblData[Budget],tblData[Month],A30,tblData[Type],"Revenue")</f>
        <v>624000</v>
      </c>
      <c r="C30" s="4">
        <f>SUMIFS(tblData[Actual],tblData[Month],A30,tblData[Type],"Revenue")</f>
        <v>624354.80000000005</v>
      </c>
      <c r="D30" s="4">
        <f t="shared" si="5"/>
        <v>354.80000000004657</v>
      </c>
    </row>
    <row r="33" spans="1:2" x14ac:dyDescent="0.3">
      <c r="A33" s="13" t="s">
        <v>80</v>
      </c>
      <c r="B33" s="14"/>
    </row>
    <row r="34" spans="1:2" x14ac:dyDescent="0.3">
      <c r="A34" s="15" t="s">
        <v>1</v>
      </c>
      <c r="B34" s="15" t="s">
        <v>7</v>
      </c>
    </row>
    <row r="35" spans="1:2" x14ac:dyDescent="0.3">
      <c r="A35" s="15" t="s">
        <v>81</v>
      </c>
      <c r="B35" s="15" t="str">
        <f>_xlfn.XLOOKUP(B34, tblOwners[Department], tblOwners[Budget Owner])</f>
        <v>Aoife Byrne</v>
      </c>
    </row>
    <row r="36" spans="1:2" x14ac:dyDescent="0.3">
      <c r="A36" s="15" t="s">
        <v>82</v>
      </c>
      <c r="B36" s="15" t="str">
        <f>_xlfn.XLOOKUP(B34, tblOwners[Department], tblOwners[Cost Centre])</f>
        <v>CC-100</v>
      </c>
    </row>
    <row r="37" spans="1:2" x14ac:dyDescent="0.3">
      <c r="A37" s="15" t="s">
        <v>83</v>
      </c>
      <c r="B37" s="16">
        <f>_xlfn.XLOOKUP(B34, $A$10:$A$15, $D$10:$D$15)</f>
        <v>-36172.770000000019</v>
      </c>
    </row>
    <row r="38" spans="1:2" x14ac:dyDescent="0.3">
      <c r="A38" s="15" t="s">
        <v>41</v>
      </c>
      <c r="B38" s="15" t="str">
        <f>_xlfn.XLOOKUP(B34, $A$10:$A$15, $F$10:$F$15)</f>
        <v>Favourable</v>
      </c>
    </row>
  </sheetData>
  <phoneticPr fontId="18" type="noConversion"/>
  <conditionalFormatting sqref="D10:D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{357F10F4-1B01-4C37-9029-A579432CD6D2}</x14:id>
        </ext>
      </extLst>
    </cfRule>
  </conditionalFormatting>
  <conditionalFormatting sqref="F1:F1048576">
    <cfRule type="containsText" dxfId="6" priority="1" operator="containsText" text="Adverse">
      <formula>NOT(ISERROR(SEARCH("Adverse",F1)))</formula>
    </cfRule>
    <cfRule type="containsText" dxfId="5" priority="2" operator="containsText" text="Favourable">
      <formula>NOT(ISERROR(SEARCH("Favourable",F1)))</formula>
    </cfRule>
  </conditionalFormatting>
  <dataValidations count="1">
    <dataValidation type="list" allowBlank="1" showInputMessage="1" showErrorMessage="1" sqref="B34" xr:uid="{9E224F80-D5F9-481F-86FC-22CA6BB2DF07}">
      <formula1>$A$10:$A$15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7F10F4-1B01-4C37-9029-A579432CD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D10:D15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3CC12-F25C-4544-835C-80154995A2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Data</vt:lpstr>
      <vt:lpstr>Owners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Kumar</dc:creator>
  <cp:lastModifiedBy>Annam, Venkata Dheeraj Kumar Yadav</cp:lastModifiedBy>
  <dcterms:created xsi:type="dcterms:W3CDTF">2026-10-19T18:51:48Z</dcterms:created>
  <dcterms:modified xsi:type="dcterms:W3CDTF">2026-10-28T01:42:17Z</dcterms:modified>
</cp:coreProperties>
</file>